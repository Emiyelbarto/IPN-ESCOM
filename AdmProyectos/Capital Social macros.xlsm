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0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TempUserProfiles\NetworkService\AppData\Local\Packages\oice_16_974fa576_32c1d314_e42\AC\Temp\"/>
    </mc:Choice>
  </mc:AlternateContent>
  <xr:revisionPtr revIDLastSave="0" documentId="8_{F726D06D-AB02-4483-B719-820CD7EBABAF}" xr6:coauthVersionLast="45" xr6:coauthVersionMax="45" xr10:uidLastSave="{00000000-0000-0000-0000-000000000000}"/>
  <bookViews>
    <workbookView xWindow="-120" yWindow="-120" windowWidth="20730" windowHeight="11160" firstSheet="7" activeTab="7" xr2:uid="{03EA114A-2878-4474-97C6-B5787E7B45F0}"/>
  </bookViews>
  <sheets>
    <sheet name="Capital  Social" sheetId="1" r:id="rId1"/>
    <sheet name="Remuneraciones" sheetId="2" r:id="rId2"/>
    <sheet name="Inversion Total" sheetId="3" r:id="rId3"/>
    <sheet name="Financiamiento" sheetId="4" r:id="rId4"/>
    <sheet name="Depreciación" sheetId="5" r:id="rId5"/>
    <sheet name="Presupuesto de Ingresos" sheetId="6" r:id="rId6"/>
    <sheet name="Costos, Gastos y Precio" sheetId="7" r:id="rId7"/>
    <sheet name="Punto de Equilibrio" sheetId="8" r:id="rId8"/>
  </sheets>
  <definedNames>
    <definedName name="_xlnm.Print_Area" localSheetId="3">Financiamiento!$B$2:$K$40</definedName>
    <definedName name="_xlnm.Print_Area" localSheetId="2">'Inversion Total'!$B$2:$F$80</definedName>
  </definedNames>
  <calcPr calcId="191028" calcCompleted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5" i="8" l="1"/>
  <c r="Y5" i="8"/>
  <c r="U5" i="8"/>
  <c r="Z5" i="8"/>
  <c r="V5" i="8"/>
  <c r="R5" i="8"/>
  <c r="N5" i="8"/>
  <c r="AG31" i="7"/>
  <c r="AG30" i="7"/>
  <c r="AG29" i="7"/>
  <c r="AG28" i="7"/>
  <c r="AG27" i="7"/>
  <c r="AG25" i="7"/>
  <c r="AG24" i="7"/>
  <c r="AF23" i="7"/>
  <c r="AG23" i="7"/>
  <c r="Y23" i="7"/>
  <c r="AG32" i="7"/>
  <c r="Q5" i="8"/>
  <c r="T22" i="7" l="1"/>
  <c r="AC22" i="7"/>
  <c r="AC21" i="7" s="1"/>
  <c r="AG22" i="7"/>
  <c r="AG21" i="7" s="1"/>
  <c r="T21" i="7"/>
  <c r="U22" i="7"/>
  <c r="U21" i="7" s="1"/>
  <c r="Y22" i="7"/>
  <c r="X22" i="7" s="1"/>
  <c r="X21" i="7" s="1"/>
  <c r="R24" i="7"/>
  <c r="R23" i="7" s="1"/>
  <c r="R32" i="7" s="1"/>
  <c r="S24" i="7"/>
  <c r="T24" i="7"/>
  <c r="T23" i="7" s="1"/>
  <c r="T32" i="7" s="1"/>
  <c r="U24" i="7"/>
  <c r="V24" i="7"/>
  <c r="V23" i="7" s="1"/>
  <c r="V32" i="7" s="1"/>
  <c r="W24" i="7"/>
  <c r="W23" i="7" s="1"/>
  <c r="W32" i="7" s="1"/>
  <c r="X24" i="7"/>
  <c r="X23" i="7" s="1"/>
  <c r="X32" i="7" s="1"/>
  <c r="Y24" i="7"/>
  <c r="R25" i="7"/>
  <c r="S25" i="7" s="1"/>
  <c r="T25" i="7"/>
  <c r="U25" i="7" s="1"/>
  <c r="V25" i="7"/>
  <c r="W25" i="7"/>
  <c r="X25" i="7"/>
  <c r="Y25" i="7"/>
  <c r="R26" i="7"/>
  <c r="S26" i="7"/>
  <c r="T26" i="7"/>
  <c r="U26" i="7"/>
  <c r="V26" i="7"/>
  <c r="W26" i="7"/>
  <c r="X26" i="7"/>
  <c r="Y26" i="7"/>
  <c r="R27" i="7"/>
  <c r="S27" i="7" s="1"/>
  <c r="T27" i="7"/>
  <c r="U27" i="7" s="1"/>
  <c r="V27" i="7"/>
  <c r="W27" i="7"/>
  <c r="X27" i="7"/>
  <c r="Y27" i="7"/>
  <c r="R28" i="7"/>
  <c r="S28" i="7"/>
  <c r="T28" i="7"/>
  <c r="U28" i="7"/>
  <c r="V28" i="7"/>
  <c r="W28" i="7"/>
  <c r="X28" i="7"/>
  <c r="Y28" i="7"/>
  <c r="R29" i="7"/>
  <c r="S29" i="7" s="1"/>
  <c r="T29" i="7"/>
  <c r="U29" i="7" s="1"/>
  <c r="V29" i="7"/>
  <c r="W29" i="7"/>
  <c r="X29" i="7"/>
  <c r="Y29" i="7"/>
  <c r="R30" i="7"/>
  <c r="S30" i="7"/>
  <c r="T30" i="7"/>
  <c r="U30" i="7"/>
  <c r="V30" i="7"/>
  <c r="W30" i="7"/>
  <c r="X30" i="7"/>
  <c r="Y30" i="7"/>
  <c r="R31" i="7"/>
  <c r="S31" i="7" s="1"/>
  <c r="T31" i="7"/>
  <c r="U31" i="7" s="1"/>
  <c r="V31" i="7"/>
  <c r="W31" i="7"/>
  <c r="X31" i="7"/>
  <c r="Y31" i="7"/>
  <c r="J5" i="8"/>
  <c r="K23" i="7"/>
  <c r="L23" i="7"/>
  <c r="L32" i="7" s="1"/>
  <c r="M23" i="7"/>
  <c r="M32" i="7" s="1"/>
  <c r="N23" i="7"/>
  <c r="N32" i="7" s="1"/>
  <c r="O23" i="7"/>
  <c r="O32" i="7" s="1"/>
  <c r="P23" i="7"/>
  <c r="P32" i="7" s="1"/>
  <c r="Q23" i="7"/>
  <c r="Q32" i="7" s="1"/>
  <c r="I5" i="8" s="1"/>
  <c r="J23" i="7"/>
  <c r="K32" i="7"/>
  <c r="J32" i="7"/>
  <c r="W5" i="8"/>
  <c r="S5" i="8"/>
  <c r="O5" i="8"/>
  <c r="P5" i="8"/>
  <c r="Q25" i="7"/>
  <c r="Q26" i="7"/>
  <c r="Q27" i="7"/>
  <c r="Q28" i="7"/>
  <c r="E5" i="8"/>
  <c r="P25" i="7"/>
  <c r="P26" i="7"/>
  <c r="P27" i="7"/>
  <c r="P28" i="7"/>
  <c r="P29" i="7"/>
  <c r="Q29" i="7" s="1"/>
  <c r="P30" i="7"/>
  <c r="Q30" i="7" s="1"/>
  <c r="P31" i="7"/>
  <c r="Q31" i="7" s="1"/>
  <c r="P24" i="7"/>
  <c r="Q24" i="7" s="1"/>
  <c r="H24" i="7"/>
  <c r="I24" i="7" s="1"/>
  <c r="I23" i="7" s="1"/>
  <c r="I32" i="7" s="1"/>
  <c r="O25" i="7"/>
  <c r="O26" i="7"/>
  <c r="O27" i="7"/>
  <c r="O28" i="7"/>
  <c r="O29" i="7"/>
  <c r="O30" i="7"/>
  <c r="O31" i="7"/>
  <c r="O24" i="7"/>
  <c r="M25" i="7"/>
  <c r="M26" i="7"/>
  <c r="M27" i="7"/>
  <c r="M28" i="7"/>
  <c r="M29" i="7"/>
  <c r="M30" i="7"/>
  <c r="M31" i="7"/>
  <c r="M24" i="7"/>
  <c r="K24" i="7"/>
  <c r="N25" i="7"/>
  <c r="N26" i="7"/>
  <c r="N27" i="7"/>
  <c r="N28" i="7"/>
  <c r="N29" i="7"/>
  <c r="N30" i="7"/>
  <c r="N31" i="7"/>
  <c r="N24" i="7"/>
  <c r="L25" i="7"/>
  <c r="L26" i="7"/>
  <c r="L27" i="7"/>
  <c r="L28" i="7"/>
  <c r="L29" i="7"/>
  <c r="L30" i="7"/>
  <c r="L31" i="7"/>
  <c r="L24" i="7"/>
  <c r="K25" i="7"/>
  <c r="K26" i="7"/>
  <c r="K27" i="7"/>
  <c r="K28" i="7"/>
  <c r="K29" i="7"/>
  <c r="K30" i="7"/>
  <c r="K31" i="7"/>
  <c r="J25" i="7"/>
  <c r="J26" i="7"/>
  <c r="J27" i="7"/>
  <c r="J28" i="7"/>
  <c r="J29" i="7"/>
  <c r="J30" i="7"/>
  <c r="J31" i="7"/>
  <c r="J24" i="7"/>
  <c r="B32" i="7"/>
  <c r="C32" i="7"/>
  <c r="D32" i="7"/>
  <c r="E32" i="7"/>
  <c r="F32" i="7"/>
  <c r="G32" i="7"/>
  <c r="I21" i="7"/>
  <c r="H25" i="7"/>
  <c r="I25" i="7" s="1"/>
  <c r="H26" i="7"/>
  <c r="I26" i="7" s="1"/>
  <c r="H27" i="7"/>
  <c r="I27" i="7" s="1"/>
  <c r="H28" i="7"/>
  <c r="I28" i="7" s="1"/>
  <c r="H29" i="7"/>
  <c r="I29" i="7" s="1"/>
  <c r="H30" i="7"/>
  <c r="I30" i="7" s="1"/>
  <c r="H31" i="7"/>
  <c r="I31" i="7" s="1"/>
  <c r="H22" i="7"/>
  <c r="AS22" i="7"/>
  <c r="F31" i="7"/>
  <c r="AK22" i="7"/>
  <c r="AJ22" i="7" s="1"/>
  <c r="AJ21" i="7" s="1"/>
  <c r="D31" i="7"/>
  <c r="B31" i="7"/>
  <c r="C31" i="7" s="1"/>
  <c r="M22" i="7"/>
  <c r="M21" i="7" s="1"/>
  <c r="AW22" i="7"/>
  <c r="AV22" i="7" s="1"/>
  <c r="AV21" i="7" s="1"/>
  <c r="F30" i="7"/>
  <c r="AR22" i="7"/>
  <c r="AR21" i="7" s="1"/>
  <c r="F29" i="7"/>
  <c r="D28" i="7"/>
  <c r="D27" i="7"/>
  <c r="F25" i="7"/>
  <c r="Q22" i="7"/>
  <c r="P22" i="7" s="1"/>
  <c r="P21" i="7" s="1"/>
  <c r="I22" i="7"/>
  <c r="G25" i="7"/>
  <c r="G26" i="7"/>
  <c r="G27" i="7"/>
  <c r="G28" i="7"/>
  <c r="G29" i="7"/>
  <c r="G30" i="7"/>
  <c r="G31" i="7"/>
  <c r="G24" i="7"/>
  <c r="AS21" i="7"/>
  <c r="C25" i="7"/>
  <c r="C26" i="7"/>
  <c r="C27" i="7"/>
  <c r="C28" i="7"/>
  <c r="C29" i="7"/>
  <c r="C30" i="7"/>
  <c r="AK21" i="7"/>
  <c r="E25" i="7"/>
  <c r="E26" i="7"/>
  <c r="E27" i="7"/>
  <c r="E28" i="7"/>
  <c r="E29" i="7"/>
  <c r="E30" i="7"/>
  <c r="E31" i="7"/>
  <c r="E24" i="7"/>
  <c r="L21" i="7"/>
  <c r="H21" i="7"/>
  <c r="E22" i="7"/>
  <c r="E21" i="7" s="1"/>
  <c r="U23" i="7" l="1"/>
  <c r="U32" i="7" s="1"/>
  <c r="S23" i="7"/>
  <c r="S32" i="7" s="1"/>
  <c r="Y21" i="7"/>
  <c r="Y32" i="7" s="1"/>
  <c r="AB22" i="7"/>
  <c r="AB21" i="7" s="1"/>
  <c r="AF22" i="7"/>
  <c r="AF21" i="7" s="1"/>
  <c r="G5" i="8"/>
  <c r="H5" i="8"/>
  <c r="T5" i="8"/>
  <c r="X5" i="8"/>
  <c r="C5" i="8"/>
  <c r="D5" i="8"/>
  <c r="AW21" i="7"/>
  <c r="AO22" i="7"/>
  <c r="Q21" i="7"/>
  <c r="D22" i="7"/>
  <c r="D21" i="7" s="1"/>
  <c r="L12" i="7"/>
  <c r="J12" i="7"/>
  <c r="H12" i="7"/>
  <c r="F12" i="7"/>
  <c r="D12" i="7"/>
  <c r="B12" i="7"/>
  <c r="L10" i="7"/>
  <c r="J10" i="7"/>
  <c r="H10" i="7"/>
  <c r="F10" i="7"/>
  <c r="D10" i="7"/>
  <c r="B10" i="7"/>
  <c r="M8" i="7"/>
  <c r="K8" i="7"/>
  <c r="I8" i="7"/>
  <c r="G8" i="7"/>
  <c r="M9" i="7"/>
  <c r="K9" i="7"/>
  <c r="I9" i="7"/>
  <c r="G9" i="7"/>
  <c r="E8" i="7"/>
  <c r="E9" i="7"/>
  <c r="F24" i="7"/>
  <c r="C9" i="7"/>
  <c r="D24" i="7"/>
  <c r="C24" i="7"/>
  <c r="H23" i="7"/>
  <c r="H32" i="7" s="1"/>
  <c r="G23" i="7"/>
  <c r="F23" i="7"/>
  <c r="E23" i="7"/>
  <c r="D23" i="7"/>
  <c r="C23" i="7"/>
  <c r="B23" i="7"/>
  <c r="B24" i="7"/>
  <c r="AV41" i="7"/>
  <c r="AN41" i="7"/>
  <c r="AF41" i="7"/>
  <c r="X41" i="7"/>
  <c r="P41" i="7"/>
  <c r="AW41" i="7"/>
  <c r="AW38" i="7"/>
  <c r="AW36" i="7"/>
  <c r="AW37" i="7" s="1"/>
  <c r="AW39" i="7" s="1"/>
  <c r="AV36" i="7"/>
  <c r="AV37" i="7" s="1"/>
  <c r="AV39" i="7" s="1"/>
  <c r="AO41" i="7"/>
  <c r="AO38" i="7"/>
  <c r="AO36" i="7"/>
  <c r="AO37" i="7" s="1"/>
  <c r="AO39" i="7" s="1"/>
  <c r="AN36" i="7"/>
  <c r="AN37" i="7" s="1"/>
  <c r="AN39" i="7" s="1"/>
  <c r="AG41" i="7"/>
  <c r="AG38" i="7"/>
  <c r="AG36" i="7"/>
  <c r="AG37" i="7" s="1"/>
  <c r="AG39" i="7" s="1"/>
  <c r="AF36" i="7"/>
  <c r="AF37" i="7" s="1"/>
  <c r="AF39" i="7" s="1"/>
  <c r="Y41" i="7"/>
  <c r="Y38" i="7"/>
  <c r="X36" i="7"/>
  <c r="X37" i="7" s="1"/>
  <c r="X39" i="7" s="1"/>
  <c r="C8" i="7"/>
  <c r="Q36" i="7"/>
  <c r="P36" i="7"/>
  <c r="P37" i="7" s="1"/>
  <c r="P39" i="7" s="1"/>
  <c r="Q41" i="7"/>
  <c r="Q38" i="7"/>
  <c r="Q37" i="7"/>
  <c r="Q39" i="7" s="1"/>
  <c r="H37" i="7"/>
  <c r="I37" i="7"/>
  <c r="I38" i="7"/>
  <c r="H39" i="7"/>
  <c r="I39" i="7"/>
  <c r="I41" i="7"/>
  <c r="Y36" i="7" l="1"/>
  <c r="Y37" i="7" s="1"/>
  <c r="Y39" i="7" s="1"/>
  <c r="M5" i="8"/>
  <c r="AO21" i="7"/>
  <c r="AN22" i="7"/>
  <c r="AN21" i="7" s="1"/>
  <c r="G5" i="6"/>
  <c r="J5" i="6"/>
  <c r="M5" i="6"/>
  <c r="P5" i="6"/>
  <c r="C5" i="6"/>
  <c r="E5" i="6" s="1"/>
  <c r="F4" i="6"/>
  <c r="P4" i="6"/>
  <c r="M4" i="6"/>
  <c r="J4" i="6"/>
  <c r="G4" i="6"/>
  <c r="E4" i="6"/>
  <c r="E7" i="6" s="1"/>
  <c r="L5" i="8" l="1"/>
  <c r="K5" i="8"/>
  <c r="F5" i="6"/>
  <c r="H5" i="6" s="1"/>
  <c r="I4" i="6"/>
  <c r="K4" i="6"/>
  <c r="H4" i="6"/>
  <c r="H7" i="6" s="1"/>
  <c r="I5" i="6" l="1"/>
  <c r="K5" i="6" s="1"/>
  <c r="K7" i="6" s="1"/>
  <c r="L4" i="6"/>
  <c r="F33" i="5"/>
  <c r="G33" i="5" s="1"/>
  <c r="I33" i="5" s="1"/>
  <c r="F32" i="5"/>
  <c r="G32" i="5" s="1"/>
  <c r="I32" i="5" s="1"/>
  <c r="F31" i="5"/>
  <c r="G31" i="5" s="1"/>
  <c r="I31" i="5" s="1"/>
  <c r="F29" i="5"/>
  <c r="G29" i="5" s="1"/>
  <c r="I29" i="5" s="1"/>
  <c r="F28" i="5"/>
  <c r="G28" i="5" s="1"/>
  <c r="I28" i="5" s="1"/>
  <c r="F27" i="5"/>
  <c r="G27" i="5" s="1"/>
  <c r="I27" i="5" s="1"/>
  <c r="F26" i="5"/>
  <c r="G26" i="5" s="1"/>
  <c r="I26" i="5" s="1"/>
  <c r="F23" i="5"/>
  <c r="G23" i="5" s="1"/>
  <c r="I23" i="5" s="1"/>
  <c r="F22" i="5"/>
  <c r="G22" i="5" s="1"/>
  <c r="I22" i="5" s="1"/>
  <c r="F21" i="5"/>
  <c r="G21" i="5" s="1"/>
  <c r="I21" i="5" s="1"/>
  <c r="F19" i="5"/>
  <c r="G19" i="5" s="1"/>
  <c r="I19" i="5" s="1"/>
  <c r="F18" i="5"/>
  <c r="G18" i="5" s="1"/>
  <c r="I18" i="5" s="1"/>
  <c r="F17" i="5"/>
  <c r="G17" i="5" s="1"/>
  <c r="I17" i="5" s="1"/>
  <c r="F16" i="5"/>
  <c r="G16" i="5" s="1"/>
  <c r="I16" i="5" s="1"/>
  <c r="F13" i="5"/>
  <c r="G13" i="5" s="1"/>
  <c r="I13" i="5" s="1"/>
  <c r="F12" i="5"/>
  <c r="G12" i="5" s="1"/>
  <c r="I12" i="5" s="1"/>
  <c r="F11" i="5"/>
  <c r="G11" i="5" s="1"/>
  <c r="I11" i="5" s="1"/>
  <c r="F9" i="5"/>
  <c r="G9" i="5" s="1"/>
  <c r="I9" i="5" s="1"/>
  <c r="F8" i="5"/>
  <c r="G8" i="5" s="1"/>
  <c r="I8" i="5" s="1"/>
  <c r="F7" i="5"/>
  <c r="G7" i="5" s="1"/>
  <c r="I7" i="5" s="1"/>
  <c r="F6" i="5"/>
  <c r="G6" i="5" s="1"/>
  <c r="I6" i="5" s="1"/>
  <c r="L5" i="6" l="1"/>
  <c r="N5" i="6" s="1"/>
  <c r="O4" i="6"/>
  <c r="N4" i="6"/>
  <c r="N7" i="6" s="1"/>
  <c r="I30" i="5"/>
  <c r="J30" i="5" s="1"/>
  <c r="I5" i="5"/>
  <c r="J5" i="5" s="1"/>
  <c r="I10" i="5"/>
  <c r="I15" i="5"/>
  <c r="J15" i="5" s="1"/>
  <c r="I20" i="5"/>
  <c r="I25" i="5"/>
  <c r="J25" i="5" s="1"/>
  <c r="D8" i="1"/>
  <c r="D78" i="3" s="1"/>
  <c r="Q4" i="6" l="1"/>
  <c r="O5" i="6"/>
  <c r="Q5" i="6" s="1"/>
  <c r="J20" i="5"/>
  <c r="I24" i="5"/>
  <c r="J24" i="5" s="1"/>
  <c r="I34" i="5"/>
  <c r="J34" i="5" s="1"/>
  <c r="I14" i="5"/>
  <c r="J14" i="5" s="1"/>
  <c r="J10" i="5"/>
  <c r="D31" i="4"/>
  <c r="D32" i="4"/>
  <c r="D33" i="4"/>
  <c r="D34" i="4"/>
  <c r="D35" i="4"/>
  <c r="D36" i="4"/>
  <c r="D37" i="4"/>
  <c r="D38" i="4"/>
  <c r="D39" i="4"/>
  <c r="D40" i="4"/>
  <c r="D30" i="4"/>
  <c r="D29" i="4"/>
  <c r="Q7" i="6" l="1"/>
  <c r="I35" i="5"/>
  <c r="J35" i="5" s="1"/>
  <c r="E53" i="3"/>
  <c r="E54" i="3"/>
  <c r="E55" i="3"/>
  <c r="E56" i="3"/>
  <c r="E57" i="3"/>
  <c r="E58" i="3"/>
  <c r="E59" i="3"/>
  <c r="E60" i="3"/>
  <c r="E61" i="3"/>
  <c r="E62" i="3"/>
  <c r="E63" i="3"/>
  <c r="E65" i="3"/>
  <c r="E52" i="3"/>
  <c r="C64" i="3" l="1"/>
  <c r="E64" i="3" s="1"/>
  <c r="E68" i="3" s="1"/>
  <c r="F68" i="3" s="1"/>
  <c r="E30" i="3"/>
  <c r="F12" i="3"/>
  <c r="F11" i="3"/>
  <c r="F9" i="3"/>
  <c r="G14" i="2"/>
  <c r="G15" i="2"/>
  <c r="G16" i="2"/>
  <c r="G17" i="2"/>
  <c r="G18" i="2"/>
  <c r="G13" i="2"/>
  <c r="G9" i="2"/>
  <c r="G10" i="2"/>
  <c r="G8" i="2"/>
  <c r="G4" i="2"/>
  <c r="G5" i="2"/>
  <c r="G6" i="2"/>
  <c r="E45" i="3"/>
  <c r="E44" i="3"/>
  <c r="E43" i="3"/>
  <c r="E41" i="3"/>
  <c r="E40" i="3"/>
  <c r="E39" i="3"/>
  <c r="E37" i="3"/>
  <c r="E36" i="3"/>
  <c r="E35" i="3"/>
  <c r="E34" i="3"/>
  <c r="E33" i="3"/>
  <c r="E31" i="3"/>
  <c r="E29" i="3"/>
  <c r="E28" i="3"/>
  <c r="E26" i="3"/>
  <c r="E25" i="3"/>
  <c r="E32" i="3" l="1"/>
  <c r="E42" i="3"/>
  <c r="E38" i="3"/>
  <c r="E27" i="3"/>
  <c r="F17" i="3"/>
  <c r="D73" i="3" s="1"/>
  <c r="E46" i="3" l="1"/>
  <c r="D74" i="3" s="1"/>
  <c r="D75" i="3" l="1"/>
  <c r="D76" i="3" s="1"/>
  <c r="E30" i="4"/>
  <c r="C30" i="4"/>
  <c r="E34" i="4"/>
  <c r="C34" i="4"/>
  <c r="E20" i="4"/>
  <c r="D20" i="4"/>
  <c r="C6" i="4"/>
  <c r="E21" i="4"/>
  <c r="D21" i="4"/>
  <c r="E22" i="4"/>
  <c r="D22" i="4"/>
  <c r="E36" i="4"/>
  <c r="C36" i="4"/>
  <c r="E32" i="4"/>
  <c r="C32" i="4"/>
  <c r="E10" i="4"/>
  <c r="D10" i="4"/>
  <c r="E23" i="4"/>
  <c r="D23" i="4"/>
  <c r="E24" i="4"/>
  <c r="D24" i="4"/>
  <c r="E35" i="4"/>
  <c r="C35" i="4"/>
  <c r="E25" i="4"/>
  <c r="D25" i="4"/>
  <c r="E18" i="4"/>
  <c r="D18" i="4"/>
  <c r="E31" i="4"/>
  <c r="C31" i="4"/>
  <c r="C8" i="4"/>
  <c r="C24" i="4"/>
  <c r="E27" i="4"/>
  <c r="D27" i="4"/>
  <c r="E17" i="4"/>
  <c r="D17" i="4"/>
  <c r="C23" i="4"/>
  <c r="E67" i="3"/>
  <c r="C67" i="3"/>
  <c r="C5" i="4"/>
  <c r="E8" i="4"/>
  <c r="D8" i="4"/>
  <c r="E12" i="4"/>
  <c r="D12" i="4"/>
  <c r="E6" i="4"/>
  <c r="D6" i="4"/>
  <c r="E28" i="4"/>
  <c r="D28" i="4"/>
  <c r="E11" i="4"/>
  <c r="D11" i="4"/>
  <c r="E40" i="4"/>
  <c r="C40" i="4"/>
  <c r="F39" i="4"/>
  <c r="F40" i="4"/>
  <c r="E13" i="4"/>
  <c r="D13" i="4"/>
  <c r="C11" i="4"/>
  <c r="E19" i="4"/>
  <c r="D19" i="4"/>
  <c r="E29" i="4"/>
  <c r="C29" i="4"/>
  <c r="C14" i="4"/>
  <c r="C9" i="4"/>
  <c r="E15" i="4"/>
  <c r="D15" i="4"/>
  <c r="E16" i="4"/>
  <c r="D16" i="4"/>
  <c r="C18" i="4"/>
  <c r="C25" i="4"/>
  <c r="C22" i="4"/>
  <c r="C21" i="4"/>
  <c r="E66" i="3"/>
  <c r="E69" i="3"/>
  <c r="E14" i="4"/>
  <c r="D14" i="4"/>
  <c r="E7" i="4"/>
  <c r="D7" i="4"/>
  <c r="C16" i="4"/>
  <c r="C27" i="4"/>
  <c r="F38" i="4"/>
  <c r="C39" i="4"/>
  <c r="E39" i="4"/>
  <c r="C26" i="4"/>
  <c r="C17" i="4"/>
  <c r="C13" i="4"/>
  <c r="E26" i="4"/>
  <c r="D26" i="4"/>
  <c r="F37" i="4"/>
  <c r="C38" i="4"/>
  <c r="E38" i="4"/>
  <c r="C19" i="4"/>
  <c r="F33" i="4"/>
  <c r="F34" i="4"/>
  <c r="F35" i="4"/>
  <c r="F36" i="4"/>
  <c r="C37" i="4"/>
  <c r="E37" i="4"/>
  <c r="C7" i="4"/>
  <c r="D9" i="4"/>
  <c r="E9" i="4"/>
  <c r="C15" i="4"/>
  <c r="C28" i="4"/>
  <c r="C12" i="4"/>
  <c r="C20" i="4"/>
  <c r="C10" i="4"/>
  <c r="D5" i="4"/>
  <c r="E5" i="4"/>
  <c r="C66" i="3"/>
  <c r="C12" i="1"/>
  <c r="D80" i="3"/>
  <c r="J6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F23" i="4"/>
  <c r="F24" i="4"/>
  <c r="F25" i="4"/>
  <c r="F26" i="4"/>
  <c r="F27" i="4"/>
  <c r="F28" i="4"/>
  <c r="F29" i="4"/>
  <c r="F30" i="4"/>
  <c r="F31" i="4"/>
  <c r="F32" i="4"/>
  <c r="C33" i="4"/>
  <c r="E33" i="4"/>
</calcChain>
</file>

<file path=xl/sharedStrings.xml><?xml version="1.0" encoding="utf-8"?>
<sst xmlns="http://schemas.openxmlformats.org/spreadsheetml/2006/main" count="396" uniqueCount="210">
  <si>
    <t>Nombre</t>
  </si>
  <si>
    <t>Numero de Acciones</t>
  </si>
  <si>
    <t>Valor</t>
  </si>
  <si>
    <t>1.- Alvarez Velázquez Juan Carlos</t>
  </si>
  <si>
    <t>2.- Pérez Garduño José Emiliano</t>
  </si>
  <si>
    <t>3.- Reyes Ortega Ulises Axel­</t>
  </si>
  <si>
    <t>Valor de Accion</t>
  </si>
  <si>
    <t>4.- Garcia Ibañez Luis Arturo</t>
  </si>
  <si>
    <t>5.- Rosas Hernandez  Oscar Andres</t>
  </si>
  <si>
    <t>Total</t>
  </si>
  <si>
    <t>otros socios</t>
  </si>
  <si>
    <t>Remuneraciones</t>
  </si>
  <si>
    <t>Area</t>
  </si>
  <si>
    <t>Puesto</t>
  </si>
  <si>
    <t>No. De Personas</t>
  </si>
  <si>
    <t>Sueldo/salario mensual</t>
  </si>
  <si>
    <t>Prestaciones y Carga Social 35%</t>
  </si>
  <si>
    <t>Salario/Sueldo mensual total</t>
  </si>
  <si>
    <t>Salario/Sueldo total Anual</t>
  </si>
  <si>
    <t>Administrativos</t>
  </si>
  <si>
    <t>CEO</t>
  </si>
  <si>
    <t>R.H.</t>
  </si>
  <si>
    <t>Scrum Master</t>
  </si>
  <si>
    <t>Producción</t>
  </si>
  <si>
    <t>Móbiles</t>
  </si>
  <si>
    <t>Servicios</t>
  </si>
  <si>
    <t>Marketing</t>
  </si>
  <si>
    <t>Publicista</t>
  </si>
  <si>
    <t>Redes Sociales</t>
  </si>
  <si>
    <t>Testing</t>
  </si>
  <si>
    <t>Pentesting</t>
  </si>
  <si>
    <t>Tester</t>
  </si>
  <si>
    <t>Sistemas</t>
  </si>
  <si>
    <t>Control de equipos y Seguridad</t>
  </si>
  <si>
    <t>Administrador de Sistemas</t>
  </si>
  <si>
    <t>Comedor</t>
  </si>
  <si>
    <t>Cocinero</t>
  </si>
  <si>
    <t>Sanitarios</t>
  </si>
  <si>
    <t>Personal de Limpieza</t>
  </si>
  <si>
    <t>Servicio Médico</t>
  </si>
  <si>
    <t>Psicólogo</t>
  </si>
  <si>
    <t>Ventas</t>
  </si>
  <si>
    <t>Contador</t>
  </si>
  <si>
    <t>Abogado</t>
  </si>
  <si>
    <t>INVERSION TOTAL</t>
  </si>
  <si>
    <t>PASO 1</t>
  </si>
  <si>
    <t>RECURSOS PARA CONSTRUIR, REMODELAR Y ACONDICIONAR (GASTOS DE INSTALACIÓN)</t>
  </si>
  <si>
    <t>Monto</t>
  </si>
  <si>
    <t>Albañileria</t>
  </si>
  <si>
    <t>Plomería</t>
  </si>
  <si>
    <t>Pintura</t>
  </si>
  <si>
    <t>Herrería</t>
  </si>
  <si>
    <t>Electricidad</t>
  </si>
  <si>
    <t>Acondicionamiento de las áreas de trabajo</t>
  </si>
  <si>
    <t>Varios</t>
  </si>
  <si>
    <t>Imprevistos</t>
  </si>
  <si>
    <t>Espacio requerido:</t>
  </si>
  <si>
    <t>mts. Cuadrados</t>
  </si>
  <si>
    <t>PASO 2</t>
  </si>
  <si>
    <t>RECURSOS PARA EQUIPAR (INVERSIÓN FIJA)</t>
  </si>
  <si>
    <t>Concepto</t>
  </si>
  <si>
    <t>Unidades</t>
  </si>
  <si>
    <t>Precio Unitario</t>
  </si>
  <si>
    <t>Propiedades, planta y equipo (activo fijo)</t>
  </si>
  <si>
    <t>Terrenos</t>
  </si>
  <si>
    <t>Edificios</t>
  </si>
  <si>
    <t>Mobiliario y equipo de oficina</t>
  </si>
  <si>
    <t xml:space="preserve">     Escritorios</t>
  </si>
  <si>
    <t xml:space="preserve">     Mesas para juntas</t>
  </si>
  <si>
    <t xml:space="preserve">     Sillas</t>
  </si>
  <si>
    <t xml:space="preserve">     Archiveros</t>
  </si>
  <si>
    <t>Equipo de cómputo</t>
  </si>
  <si>
    <t xml:space="preserve">    Computadoras</t>
  </si>
  <si>
    <t xml:space="preserve">    Impresoras</t>
  </si>
  <si>
    <t xml:space="preserve">    Servidores</t>
  </si>
  <si>
    <t xml:space="preserve">    Scanner</t>
  </si>
  <si>
    <t xml:space="preserve">    Ploters</t>
  </si>
  <si>
    <t>Equipo de entrega o de reparto</t>
  </si>
  <si>
    <t xml:space="preserve">    Camionetas</t>
  </si>
  <si>
    <t xml:space="preserve">    Motocicletas</t>
  </si>
  <si>
    <t xml:space="preserve">    Automóviles</t>
  </si>
  <si>
    <t>Equipo de producción</t>
  </si>
  <si>
    <t xml:space="preserve">    Maquinaria</t>
  </si>
  <si>
    <t xml:space="preserve">    Mesas de trabajo</t>
  </si>
  <si>
    <t xml:space="preserve">   Herramientas y equipo</t>
  </si>
  <si>
    <t>PASO 3</t>
  </si>
  <si>
    <t>RECURSOS PARA INICIAR</t>
  </si>
  <si>
    <t>Costo/mes</t>
  </si>
  <si>
    <t>Meses</t>
  </si>
  <si>
    <t>Depósitos de renta  (1)</t>
  </si>
  <si>
    <t>Pago de renta mensual (meses que se pagarán previos a la operación de la empresa)</t>
  </si>
  <si>
    <t xml:space="preserve">Publicidad inicial </t>
  </si>
  <si>
    <t>Licencias y permisos gubernamentales para iniciar operaciones (abrir el negocio)</t>
  </si>
  <si>
    <t>Acta constitutiva</t>
  </si>
  <si>
    <t>Contratación Líneas telefónicas</t>
  </si>
  <si>
    <t>Contratación de gas</t>
  </si>
  <si>
    <t>Contratación de cable</t>
  </si>
  <si>
    <t xml:space="preserve">Material de limpieza (Escobas, cubetas, jergas) </t>
  </si>
  <si>
    <t>Papelería</t>
  </si>
  <si>
    <t>Licencias de software</t>
  </si>
  <si>
    <t>Capital de trabajo</t>
  </si>
  <si>
    <t xml:space="preserve">      Sueldos para el primer mes de operación y si es necesario para algunos meses previos</t>
  </si>
  <si>
    <t xml:space="preserve">      Materia prima para el primer mes de operación (inventarios)</t>
  </si>
  <si>
    <t>Pago a capital (en caso de solicitar financiamiento)</t>
  </si>
  <si>
    <t>Pago de intereses (en caso de solicitar financiamiento)</t>
  </si>
  <si>
    <t>Total (previo a financiamiento)</t>
  </si>
  <si>
    <t>Paso 4</t>
  </si>
  <si>
    <t>INVERSIÓN TOTAL</t>
  </si>
  <si>
    <t>Recursos para remodelar</t>
  </si>
  <si>
    <t>Recursos para equipar</t>
  </si>
  <si>
    <t>Recursos para iniciar</t>
  </si>
  <si>
    <t>Total de inversión</t>
  </si>
  <si>
    <t>Disponible / capital social</t>
  </si>
  <si>
    <t>Financiamiento requerido</t>
  </si>
  <si>
    <t>Financiamiento</t>
  </si>
  <si>
    <t>Mes</t>
  </si>
  <si>
    <t>Interes Mensual</t>
  </si>
  <si>
    <t>Pago Mensual</t>
  </si>
  <si>
    <t>Pago a principal</t>
  </si>
  <si>
    <t>Deuda despues del Pago</t>
  </si>
  <si>
    <t>Tasa de Interes</t>
  </si>
  <si>
    <t>Deuda</t>
  </si>
  <si>
    <t>ESTIMADO DE DEPRECIACIÓN DEL ACTIVO FIJO (INMUEBLES, PLANTA Y EQUIPO)</t>
  </si>
  <si>
    <t>Los porcentajes de depreciación están en el artículo 34 de la Ley del ISR</t>
  </si>
  <si>
    <t>UBICACIÓN: DEPTO/ÁREA</t>
  </si>
  <si>
    <t>Inversión (activo fijo)</t>
  </si>
  <si>
    <t>% de dep. anual máximo ley ISR</t>
  </si>
  <si>
    <t>Vida útil (años)</t>
  </si>
  <si>
    <t>Costo de adquisición</t>
  </si>
  <si>
    <t>Valor residual estimado</t>
  </si>
  <si>
    <t>depreciación anual por unidad por el método de linea recta</t>
  </si>
  <si>
    <t>Número de unidades</t>
  </si>
  <si>
    <t>Monto total de dep. anual</t>
  </si>
  <si>
    <t>Monto de la depreciación mensual</t>
  </si>
  <si>
    <t>PRODUCCIÓN/ SERVICIO</t>
  </si>
  <si>
    <t xml:space="preserve">           Escritorio</t>
  </si>
  <si>
    <t xml:space="preserve">           Silla ejecutiva</t>
  </si>
  <si>
    <t xml:space="preserve">           Archivero</t>
  </si>
  <si>
    <t>Mesas para Juntas</t>
  </si>
  <si>
    <t xml:space="preserve">           Computadora</t>
  </si>
  <si>
    <t xml:space="preserve">           Impresora</t>
  </si>
  <si>
    <t>Servidores</t>
  </si>
  <si>
    <t>TOTAL DE DEPRECIACIÓN ANUAL A CARGO DEL ÁREA DE PRODUCCIÓN O DE PRESTACIÓN DE SERVICIOS</t>
  </si>
  <si>
    <t>VENTAS</t>
  </si>
  <si>
    <t>TOTAL DE DEPRECIACIÓN ANUAL A CARGO DEL ÁREA DE DE VENTAS</t>
  </si>
  <si>
    <t>ADMINISTRACIÓN</t>
  </si>
  <si>
    <t>TOTAL DE DEPRECIACIÓN ANUAL A CARGO DEL ÁREA DE ADMINISTRACIÓN</t>
  </si>
  <si>
    <t>NOTA</t>
  </si>
  <si>
    <t>Para el cálculo de la depreciación utilizar el método de linea recta</t>
  </si>
  <si>
    <t>TOTAL DE DEPRECIACIÓN</t>
  </si>
  <si>
    <t>Servicio</t>
  </si>
  <si>
    <t>Cantidad</t>
  </si>
  <si>
    <t>Precio</t>
  </si>
  <si>
    <t>Ingresos</t>
  </si>
  <si>
    <t>Suscripcion</t>
  </si>
  <si>
    <t>Publicidad</t>
  </si>
  <si>
    <t>Ingresos Anuales</t>
  </si>
  <si>
    <t>Costo Premium</t>
  </si>
  <si>
    <t>PROMEDIO GENERAL DE INFLACIÓN PARA LOS PRÓXIMOS 5 AÑOS =</t>
  </si>
  <si>
    <t>ESTIMACIÓN DEL COSTO VARIBALE UNITARIO</t>
  </si>
  <si>
    <t>CONCEPTO</t>
  </si>
  <si>
    <t>AREA/DEPTO.</t>
  </si>
  <si>
    <t>ÁREA/DEPTO.</t>
  </si>
  <si>
    <t>PRODUCCIÓN</t>
  </si>
  <si>
    <t>EZRecistence Premium</t>
  </si>
  <si>
    <t>COSTO  Y GASTO VARIABLE POR ÁREA</t>
  </si>
  <si>
    <t>COSTO y GASTO VARIABLE UNITARIO (C.V.U)</t>
  </si>
  <si>
    <t>UNIDADES A PRODUCIR POR AÑO</t>
  </si>
  <si>
    <t>COSTO VARIABLE TOTAL (C.V.T)</t>
  </si>
  <si>
    <t>ESTIMACIÓN DE GASTOS VARIABLES Y COSTOS FIJOS POR ÁREA</t>
  </si>
  <si>
    <t>COSTO DE PRODUCCIÓN</t>
  </si>
  <si>
    <t>GASTOS DE VENTA</t>
  </si>
  <si>
    <t>GASTOS DE ADMÓN</t>
  </si>
  <si>
    <t>TOTAL ANUAL</t>
  </si>
  <si>
    <t>TOTAL MENSUAL TODOS LAS ÁREAS</t>
  </si>
  <si>
    <t>TOTAL ANUAL TODAS LAS ÁREAS</t>
  </si>
  <si>
    <t>MENSUAL</t>
  </si>
  <si>
    <t>ANUAL</t>
  </si>
  <si>
    <t>Costos y gastos variables totales</t>
  </si>
  <si>
    <t>Tarifa Google Play</t>
  </si>
  <si>
    <t xml:space="preserve"> -   </t>
  </si>
  <si>
    <t>Costos y gastos fijos</t>
  </si>
  <si>
    <t>Sueldos/remuneraciones</t>
  </si>
  <si>
    <t>Renta</t>
  </si>
  <si>
    <t>Luz, agua y predial</t>
  </si>
  <si>
    <t>Servicio telefónico</t>
  </si>
  <si>
    <t>Material de aseo y limpieza</t>
  </si>
  <si>
    <t>Depreciación del activo fijo</t>
  </si>
  <si>
    <t>COSTO TOTAL POR ÁREA (CVT + CF)</t>
  </si>
  <si>
    <t>ESTIMACIÓN DEL PRECIO DE VENTA POR UNIDAD AÑO 2020</t>
  </si>
  <si>
    <t>ESTIMACIÓN DEL PRECIO DE VENTA POR UNIDAD AÑO 2021</t>
  </si>
  <si>
    <t>ESTIMACIÓN DEL PRECIO DE VENTA POR UNIDAD AÑO 2022</t>
  </si>
  <si>
    <t>ESTIMACIÓN DEL PRECIO DE VENTA POR UNIDAD AÑO 2023</t>
  </si>
  <si>
    <t>ESTIMACIÓN DEL PRECIO DE VENTA POR UNIDAD AÑO 2024</t>
  </si>
  <si>
    <t>ESTIMACIÓN DEL PRECIO DE VENTA POR UNIDAD AÑO 2025</t>
  </si>
  <si>
    <t xml:space="preserve">COSTO TOTAL </t>
  </si>
  <si>
    <t>COSTO TOTAL</t>
  </si>
  <si>
    <t>COSTO TOTAL POR APP</t>
  </si>
  <si>
    <t>UTILIDAD SOBRE EL COSTO TOTAL</t>
  </si>
  <si>
    <t>PRECIO DE VENTA UNITARIO por costeo</t>
  </si>
  <si>
    <t xml:space="preserve">                 PRECIO DE VENTA UNITARIO POR COSTEO</t>
  </si>
  <si>
    <t>PRECIO DE VENTA EN EL MERCADO</t>
  </si>
  <si>
    <t xml:space="preserve">                               PRECIO DE VENTA EN EL MERCADO</t>
  </si>
  <si>
    <t>PRESUPUESTO DE GASTOS FINANCIEROS</t>
  </si>
  <si>
    <t>Pago de intereses</t>
  </si>
  <si>
    <t>PUNTO DE EQUILIBRIO</t>
  </si>
  <si>
    <t>Mensual</t>
  </si>
  <si>
    <t>Anual</t>
  </si>
  <si>
    <t>P.E. en Q</t>
  </si>
  <si>
    <t>P.E. en $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</si>
</sst>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6" formatCode="&quot;$&quot;#,##0;[Red]\-&quot;$&quot;#,##0"/>
    <numFmt numFmtId="8" formatCode="&quot;$&quot;#,##0.00;[Red]\-&quot;$&quot;#,##0.00"/>
    <numFmt numFmtId="44" formatCode="_-&quot;$&quot;* #,##0.00_-;\-&quot;$&quot;* #,##0.00_-;_-&quot;$&quot;* &quot;-&quot;??_-;_-@_-"/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&quot;$&quot;#,##0"/>
    <numFmt numFmtId="167" formatCode="_-[$$-80A]* #,##0.00_-;\-[$$-80A]* #,##0.00_-;_-[$$-80A]* &quot;-&quot;??_-;_-@_-"/>
    <numFmt numFmtId="168" formatCode="_-&quot;$&quot;* #,##0.0000000_-;\-&quot;$&quot;* #,##0.0000000_-;_-&quot;$&quot;* &quot;-&quot;??_-;_-@_-"/>
    <numFmt numFmtId="169" formatCode="0.0"/>
  </numFmts>
  <fonts count="35">
    <font>
      <sz val="12"/>
      <color theme="1"/>
      <name val="Arial"/>
      <family val="2"/>
    </font>
    <font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0"/>
      <name val="Arial"/>
      <family val="2"/>
    </font>
    <font>
      <u/>
      <sz val="12"/>
      <color theme="1"/>
      <name val="Arial"/>
      <family val="2"/>
    </font>
    <font>
      <b/>
      <sz val="12"/>
      <color theme="3"/>
      <name val="Arial"/>
      <family val="2"/>
    </font>
    <font>
      <b/>
      <sz val="10"/>
      <name val="Lucida Console"/>
      <family val="3"/>
    </font>
    <font>
      <sz val="12"/>
      <name val="Calibri"/>
      <family val="2"/>
      <scheme val="minor"/>
    </font>
    <font>
      <sz val="12"/>
      <name val="Arial"/>
      <family val="2"/>
    </font>
    <font>
      <b/>
      <sz val="14"/>
      <name val="Calibri"/>
      <family val="2"/>
      <scheme val="minor"/>
    </font>
    <font>
      <b/>
      <i/>
      <sz val="10"/>
      <color theme="0"/>
      <name val="Arial"/>
      <family val="2"/>
    </font>
    <font>
      <i/>
      <sz val="10"/>
      <color theme="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14"/>
      <name val="Arial"/>
      <family val="2"/>
    </font>
    <font>
      <sz val="11"/>
      <color theme="1"/>
      <name val="Calibri"/>
      <charset val="1"/>
    </font>
    <font>
      <b/>
      <sz val="16"/>
      <color theme="1"/>
      <name val="Calibri"/>
      <scheme val="minor"/>
    </font>
    <font>
      <b/>
      <sz val="12"/>
      <color theme="1"/>
      <name val="Arial"/>
      <family val="2"/>
    </font>
    <font>
      <sz val="12"/>
      <color theme="1"/>
      <name val="Arial"/>
    </font>
    <font>
      <b/>
      <sz val="12"/>
      <color theme="1"/>
      <name val="Arial"/>
    </font>
    <font>
      <b/>
      <sz val="14"/>
      <color theme="1"/>
      <name val="Calibri"/>
      <scheme val="minor"/>
    </font>
    <font>
      <b/>
      <sz val="11"/>
      <color theme="1"/>
      <name val="Calibri"/>
      <scheme val="minor"/>
    </font>
    <font>
      <b/>
      <sz val="11"/>
      <color rgb="FF0070C0"/>
      <name val="Calibri"/>
      <scheme val="minor"/>
    </font>
    <font>
      <b/>
      <sz val="11"/>
      <color theme="4"/>
      <name val="Calibri"/>
      <scheme val="minor"/>
    </font>
    <font>
      <b/>
      <sz val="14"/>
      <color theme="4"/>
      <name val="Calibri"/>
      <scheme val="minor"/>
    </font>
    <font>
      <sz val="12"/>
      <color rgb="FF000000"/>
      <name val="Arial"/>
    </font>
    <font>
      <sz val="12"/>
      <color rgb="FF000000"/>
      <name val="Arial"/>
      <family val="2"/>
    </font>
    <font>
      <b/>
      <sz val="12"/>
      <color theme="4"/>
      <name val="Arial"/>
    </font>
    <font>
      <b/>
      <sz val="12"/>
      <color rgb="FF4472C4"/>
      <name val="Arial"/>
    </font>
    <font>
      <sz val="12"/>
      <color rgb="FFF2F2F2"/>
      <name val="Arial"/>
      <family val="2"/>
    </font>
    <font>
      <sz val="12"/>
      <color rgb="FF444444"/>
      <name val="Arial"/>
    </font>
    <font>
      <sz val="12"/>
      <color rgb="FF444444"/>
      <name val="Arial"/>
      <family val="2"/>
    </font>
    <font>
      <b/>
      <sz val="12"/>
      <color theme="4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0"/>
        <bgColor indexed="64"/>
      </patternFill>
    </fill>
    <fill>
      <gradientFill type="path" top="1" bottom="1">
        <stop position="0">
          <color theme="0"/>
        </stop>
        <stop position="1">
          <color theme="4"/>
        </stop>
      </gradientFill>
    </fill>
    <fill>
      <patternFill patternType="solid">
        <fgColor indexed="65"/>
        <bgColor theme="0"/>
      </patternFill>
    </fill>
    <fill>
      <gradientFill degree="90">
        <stop position="0">
          <color theme="3"/>
        </stop>
        <stop position="0.5">
          <color theme="4"/>
        </stop>
        <stop position="1">
          <color theme="3"/>
        </stop>
      </gradientFill>
    </fill>
    <fill>
      <patternFill patternType="solid">
        <fgColor theme="4" tint="0.59999389629810485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theme="0" tint="-0.249977111117893"/>
        <bgColor theme="0"/>
      </patternFill>
    </fill>
    <fill>
      <patternFill patternType="solid">
        <fgColor theme="0"/>
        <bgColor theme="0"/>
      </patternFill>
    </fill>
    <fill>
      <patternFill patternType="solid">
        <fgColor indexed="44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BC2E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C6591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000000"/>
        <bgColor indexed="64"/>
      </patternFill>
    </fill>
  </fills>
  <borders count="7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E7E6E6"/>
      </left>
      <right style="thin">
        <color rgb="FFE7E6E6"/>
      </right>
      <top style="thin">
        <color rgb="FFE7E6E6"/>
      </top>
      <bottom style="thin">
        <color rgb="FFE7E6E6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theme="1"/>
      </left>
      <right style="thin">
        <color indexed="64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 style="thick">
        <color theme="1"/>
      </right>
      <top style="thick">
        <color theme="1"/>
      </top>
      <bottom style="thick">
        <color theme="1"/>
      </bottom>
      <diagonal/>
    </border>
    <border>
      <left style="thin">
        <color indexed="64"/>
      </left>
      <right/>
      <top style="thick">
        <color theme="1"/>
      </top>
      <bottom style="thick">
        <color theme="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theme="1"/>
      </left>
      <right style="thick">
        <color theme="1"/>
      </right>
      <top style="thick">
        <color theme="1"/>
      </top>
      <bottom style="thin">
        <color indexed="64"/>
      </bottom>
      <diagonal/>
    </border>
    <border>
      <left style="thick">
        <color theme="1"/>
      </left>
      <right/>
      <top style="thick">
        <color theme="1"/>
      </top>
      <bottom style="thin">
        <color indexed="64"/>
      </bottom>
      <diagonal/>
    </border>
    <border>
      <left/>
      <right style="thin">
        <color indexed="64"/>
      </right>
      <top style="thick">
        <color theme="1"/>
      </top>
      <bottom style="thin">
        <color indexed="64"/>
      </bottom>
      <diagonal/>
    </border>
    <border>
      <left style="thin">
        <color indexed="64"/>
      </left>
      <right/>
      <top style="thick">
        <color theme="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theme="1"/>
      </top>
      <bottom style="thin">
        <color indexed="64"/>
      </bottom>
      <diagonal/>
    </border>
    <border>
      <left style="thin">
        <color indexed="64"/>
      </left>
      <right style="thick">
        <color theme="1"/>
      </right>
      <top style="thick">
        <color theme="1"/>
      </top>
      <bottom style="thin">
        <color indexed="64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theme="1"/>
      </bottom>
      <diagonal/>
    </border>
    <border>
      <left/>
      <right style="thin">
        <color indexed="64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/>
      <top style="thin">
        <color indexed="64"/>
      </top>
      <bottom style="thick">
        <color theme="1"/>
      </bottom>
      <diagonal/>
    </border>
    <border>
      <left style="thick">
        <color theme="1"/>
      </left>
      <right style="thick">
        <color theme="1"/>
      </right>
      <top style="thin">
        <color indexed="64"/>
      </top>
      <bottom style="thick">
        <color theme="1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 style="thick">
        <color theme="1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theme="1"/>
      </right>
      <top style="thin">
        <color indexed="64"/>
      </top>
      <bottom style="thin">
        <color indexed="64"/>
      </bottom>
      <diagonal/>
    </border>
    <border>
      <left style="thick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theme="1"/>
      </right>
      <top style="thin">
        <color indexed="64"/>
      </top>
      <bottom/>
      <diagonal/>
    </border>
    <border>
      <left style="medium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thick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/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theme="1"/>
      </left>
      <right/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rgb="FF000000"/>
      </top>
      <bottom style="double">
        <color rgb="FF000000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/>
      <right style="medium">
        <color rgb="FF000000"/>
      </right>
      <top style="thin">
        <color rgb="FF000000"/>
      </top>
      <bottom style="double">
        <color rgb="FF000000"/>
      </bottom>
      <diagonal/>
    </border>
    <border>
      <left/>
      <right/>
      <top/>
      <bottom style="medium">
        <color rgb="FF000000"/>
      </bottom>
      <diagonal/>
    </border>
  </borders>
  <cellStyleXfs count="5">
    <xf numFmtId="0" fontId="0" fillId="0" borderId="0"/>
    <xf numFmtId="44" fontId="1" fillId="0" borderId="0" applyFont="0" applyFill="0" applyBorder="0" applyAlignment="0" applyProtection="0"/>
    <xf numFmtId="0" fontId="3" fillId="2" borderId="0" applyNumberFormat="0" applyBorder="0" applyAlignment="0" applyProtection="0"/>
    <xf numFmtId="9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299">
    <xf numFmtId="0" fontId="0" fillId="0" borderId="0" xfId="0"/>
    <xf numFmtId="0" fontId="4" fillId="3" borderId="0" xfId="0" applyFont="1" applyFill="1"/>
    <xf numFmtId="0" fontId="0" fillId="3" borderId="0" xfId="0" applyFill="1"/>
    <xf numFmtId="0" fontId="0" fillId="3" borderId="0" xfId="0" applyFill="1" applyAlignment="1">
      <alignment horizontal="center"/>
    </xf>
    <xf numFmtId="8" fontId="0" fillId="3" borderId="0" xfId="0" applyNumberFormat="1" applyFill="1" applyAlignment="1">
      <alignment horizontal="right"/>
    </xf>
    <xf numFmtId="0" fontId="6" fillId="4" borderId="0" xfId="0" applyFont="1" applyFill="1"/>
    <xf numFmtId="0" fontId="0" fillId="5" borderId="0" xfId="0" applyFill="1"/>
    <xf numFmtId="8" fontId="0" fillId="5" borderId="0" xfId="0" applyNumberFormat="1" applyFill="1" applyAlignment="1">
      <alignment horizontal="right"/>
    </xf>
    <xf numFmtId="0" fontId="9" fillId="0" borderId="0" xfId="2" applyFont="1" applyFill="1" applyBorder="1" applyAlignment="1">
      <alignment horizontal="center" vertical="center"/>
    </xf>
    <xf numFmtId="0" fontId="12" fillId="7" borderId="4" xfId="0" applyFont="1" applyFill="1" applyBorder="1" applyAlignment="1">
      <alignment horizontal="center" vertical="center"/>
    </xf>
    <xf numFmtId="6" fontId="13" fillId="9" borderId="7" xfId="0" applyNumberFormat="1" applyFont="1" applyFill="1" applyBorder="1" applyAlignment="1">
      <alignment horizontal="center" vertical="center" wrapText="1"/>
    </xf>
    <xf numFmtId="0" fontId="12" fillId="5" borderId="1" xfId="0" applyFont="1" applyFill="1" applyBorder="1"/>
    <xf numFmtId="0" fontId="0" fillId="5" borderId="2" xfId="0" applyFill="1" applyBorder="1"/>
    <xf numFmtId="8" fontId="0" fillId="5" borderId="3" xfId="0" applyNumberFormat="1" applyFill="1" applyBorder="1" applyAlignment="1">
      <alignment horizontal="right"/>
    </xf>
    <xf numFmtId="166" fontId="12" fillId="9" borderId="3" xfId="1" applyNumberFormat="1" applyFont="1" applyFill="1" applyBorder="1" applyAlignment="1">
      <alignment horizontal="center" vertical="center"/>
    </xf>
    <xf numFmtId="0" fontId="12" fillId="10" borderId="0" xfId="0" applyFont="1" applyFill="1" applyAlignment="1">
      <alignment horizontal="right" vertical="center"/>
    </xf>
    <xf numFmtId="0" fontId="12" fillId="9" borderId="0" xfId="0" applyFont="1" applyFill="1" applyAlignment="1">
      <alignment horizontal="center"/>
    </xf>
    <xf numFmtId="8" fontId="13" fillId="5" borderId="0" xfId="0" applyNumberFormat="1" applyFont="1" applyFill="1" applyAlignment="1">
      <alignment horizontal="right"/>
    </xf>
    <xf numFmtId="0" fontId="14" fillId="5" borderId="0" xfId="0" applyFont="1" applyFill="1"/>
    <xf numFmtId="0" fontId="12" fillId="7" borderId="8" xfId="0" applyFont="1" applyFill="1" applyBorder="1" applyAlignment="1">
      <alignment horizontal="center" vertical="center"/>
    </xf>
    <xf numFmtId="0" fontId="15" fillId="7" borderId="8" xfId="0" applyFont="1" applyFill="1" applyBorder="1" applyAlignment="1">
      <alignment horizontal="center" vertical="center"/>
    </xf>
    <xf numFmtId="8" fontId="12" fillId="7" borderId="8" xfId="0" applyNumberFormat="1" applyFont="1" applyFill="1" applyBorder="1" applyAlignment="1">
      <alignment horizontal="right" vertical="center"/>
    </xf>
    <xf numFmtId="0" fontId="16" fillId="8" borderId="8" xfId="0" applyFont="1" applyFill="1" applyBorder="1" applyAlignment="1">
      <alignment horizontal="center" wrapText="1"/>
    </xf>
    <xf numFmtId="0" fontId="13" fillId="11" borderId="8" xfId="0" applyFont="1" applyFill="1" applyBorder="1" applyAlignment="1">
      <alignment horizontal="center"/>
    </xf>
    <xf numFmtId="164" fontId="13" fillId="11" borderId="8" xfId="0" applyNumberFormat="1" applyFont="1" applyFill="1" applyBorder="1"/>
    <xf numFmtId="8" fontId="13" fillId="9" borderId="8" xfId="0" applyNumberFormat="1" applyFont="1" applyFill="1" applyBorder="1" applyAlignment="1">
      <alignment horizontal="right" vertical="center" wrapText="1"/>
    </xf>
    <xf numFmtId="0" fontId="12" fillId="8" borderId="7" xfId="0" applyFont="1" applyFill="1" applyBorder="1" applyAlignment="1">
      <alignment wrapText="1"/>
    </xf>
    <xf numFmtId="0" fontId="13" fillId="11" borderId="7" xfId="0" applyFont="1" applyFill="1" applyBorder="1" applyAlignment="1">
      <alignment horizontal="center"/>
    </xf>
    <xf numFmtId="164" fontId="13" fillId="11" borderId="7" xfId="0" applyNumberFormat="1" applyFont="1" applyFill="1" applyBorder="1"/>
    <xf numFmtId="8" fontId="12" fillId="9" borderId="7" xfId="0" applyNumberFormat="1" applyFont="1" applyFill="1" applyBorder="1" applyAlignment="1">
      <alignment horizontal="right" vertical="center" wrapText="1"/>
    </xf>
    <xf numFmtId="0" fontId="13" fillId="8" borderId="7" xfId="0" applyFont="1" applyFill="1" applyBorder="1" applyAlignment="1">
      <alignment wrapText="1"/>
    </xf>
    <xf numFmtId="8" fontId="13" fillId="9" borderId="7" xfId="0" applyNumberFormat="1" applyFont="1" applyFill="1" applyBorder="1" applyAlignment="1">
      <alignment horizontal="right" vertical="center" wrapText="1"/>
    </xf>
    <xf numFmtId="0" fontId="12" fillId="5" borderId="9" xfId="0" applyFont="1" applyFill="1" applyBorder="1"/>
    <xf numFmtId="0" fontId="14" fillId="5" borderId="9" xfId="0" applyFont="1" applyFill="1" applyBorder="1" applyAlignment="1">
      <alignment horizontal="center" vertical="center" wrapText="1"/>
    </xf>
    <xf numFmtId="8" fontId="12" fillId="9" borderId="9" xfId="1" applyNumberFormat="1" applyFont="1" applyFill="1" applyBorder="1" applyAlignment="1">
      <alignment horizontal="right" vertical="center"/>
    </xf>
    <xf numFmtId="0" fontId="13" fillId="8" borderId="5" xfId="0" applyFont="1" applyFill="1" applyBorder="1" applyAlignment="1">
      <alignment vertical="center" wrapText="1"/>
    </xf>
    <xf numFmtId="6" fontId="13" fillId="8" borderId="5" xfId="0" applyNumberFormat="1" applyFont="1" applyFill="1" applyBorder="1" applyAlignment="1">
      <alignment horizontal="center" vertical="center" wrapText="1"/>
    </xf>
    <xf numFmtId="0" fontId="13" fillId="8" borderId="5" xfId="0" applyFont="1" applyFill="1" applyBorder="1" applyAlignment="1">
      <alignment horizontal="center" vertical="center" wrapText="1"/>
    </xf>
    <xf numFmtId="0" fontId="12" fillId="8" borderId="5" xfId="0" applyFont="1" applyFill="1" applyBorder="1" applyAlignment="1">
      <alignment wrapText="1"/>
    </xf>
    <xf numFmtId="8" fontId="12" fillId="9" borderId="3" xfId="1" applyNumberFormat="1" applyFont="1" applyFill="1" applyBorder="1" applyAlignment="1">
      <alignment horizontal="right" vertical="center"/>
    </xf>
    <xf numFmtId="0" fontId="13" fillId="9" borderId="5" xfId="0" applyFont="1" applyFill="1" applyBorder="1"/>
    <xf numFmtId="0" fontId="13" fillId="9" borderId="9" xfId="0" applyFont="1" applyFill="1" applyBorder="1"/>
    <xf numFmtId="0" fontId="13" fillId="9" borderId="0" xfId="0" applyFont="1" applyFill="1"/>
    <xf numFmtId="0" fontId="13" fillId="9" borderId="10" xfId="0" applyFont="1" applyFill="1" applyBorder="1"/>
    <xf numFmtId="0" fontId="12" fillId="5" borderId="2" xfId="0" applyFont="1" applyFill="1" applyBorder="1"/>
    <xf numFmtId="0" fontId="13" fillId="8" borderId="7" xfId="0" applyFont="1" applyFill="1" applyBorder="1" applyAlignment="1">
      <alignment horizontal="left" vertical="center" wrapText="1"/>
    </xf>
    <xf numFmtId="0" fontId="2" fillId="12" borderId="0" xfId="0" applyFont="1" applyFill="1" applyAlignment="1">
      <alignment horizontal="center"/>
    </xf>
    <xf numFmtId="0" fontId="17" fillId="3" borderId="0" xfId="0" applyFont="1" applyFill="1"/>
    <xf numFmtId="0" fontId="17" fillId="3" borderId="0" xfId="0" applyFont="1" applyFill="1" applyAlignment="1">
      <alignment horizontal="center"/>
    </xf>
    <xf numFmtId="167" fontId="17" fillId="3" borderId="0" xfId="0" applyNumberFormat="1" applyFont="1" applyFill="1"/>
    <xf numFmtId="0" fontId="17" fillId="13" borderId="0" xfId="0" applyFont="1" applyFill="1"/>
    <xf numFmtId="0" fontId="17" fillId="13" borderId="0" xfId="0" applyFont="1" applyFill="1" applyAlignment="1">
      <alignment horizontal="center"/>
    </xf>
    <xf numFmtId="167" fontId="17" fillId="13" borderId="0" xfId="0" applyNumberFormat="1" applyFont="1" applyFill="1"/>
    <xf numFmtId="0" fontId="0" fillId="13" borderId="0" xfId="0" applyFill="1"/>
    <xf numFmtId="167" fontId="0" fillId="3" borderId="0" xfId="0" applyNumberFormat="1" applyFill="1"/>
    <xf numFmtId="0" fontId="2" fillId="12" borderId="0" xfId="0" applyFont="1" applyFill="1" applyAlignment="1">
      <alignment horizontal="center" vertical="center" wrapText="1"/>
    </xf>
    <xf numFmtId="44" fontId="0" fillId="13" borderId="0" xfId="1" applyFont="1" applyFill="1" applyAlignment="1">
      <alignment horizontal="center" vertical="center" wrapText="1"/>
    </xf>
    <xf numFmtId="44" fontId="0" fillId="13" borderId="0" xfId="1" applyFont="1" applyFill="1" applyAlignment="1">
      <alignment vertical="center"/>
    </xf>
    <xf numFmtId="0" fontId="0" fillId="3" borderId="0" xfId="0" applyFill="1" applyAlignment="1">
      <alignment horizontal="center" vertical="center" wrapText="1"/>
    </xf>
    <xf numFmtId="44" fontId="0" fillId="3" borderId="0" xfId="1" applyFont="1" applyFill="1" applyAlignment="1">
      <alignment horizontal="center" vertical="center" wrapText="1"/>
    </xf>
    <xf numFmtId="44" fontId="0" fillId="3" borderId="0" xfId="1" applyFont="1" applyFill="1" applyAlignment="1">
      <alignment vertical="center"/>
    </xf>
    <xf numFmtId="0" fontId="2" fillId="12" borderId="0" xfId="0" applyFont="1" applyFill="1" applyAlignment="1">
      <alignment horizontal="center" vertical="top" wrapText="1"/>
    </xf>
    <xf numFmtId="0" fontId="0" fillId="3" borderId="0" xfId="0" applyFill="1" applyAlignment="1">
      <alignment horizontal="center" vertical="center"/>
    </xf>
    <xf numFmtId="44" fontId="0" fillId="3" borderId="0" xfId="1" applyFont="1" applyFill="1" applyBorder="1"/>
    <xf numFmtId="168" fontId="0" fillId="3" borderId="0" xfId="0" applyNumberFormat="1" applyFill="1"/>
    <xf numFmtId="0" fontId="0" fillId="13" borderId="0" xfId="0" applyFill="1" applyAlignment="1">
      <alignment horizontal="center" vertical="center"/>
    </xf>
    <xf numFmtId="44" fontId="0" fillId="13" borderId="0" xfId="1" applyFont="1" applyFill="1" applyBorder="1"/>
    <xf numFmtId="9" fontId="0" fillId="3" borderId="0" xfId="3" applyFont="1" applyFill="1"/>
    <xf numFmtId="0" fontId="0" fillId="3" borderId="0" xfId="0" applyFill="1" applyAlignment="1">
      <alignment vertical="center"/>
    </xf>
    <xf numFmtId="44" fontId="0" fillId="3" borderId="0" xfId="0" applyNumberFormat="1" applyFill="1"/>
    <xf numFmtId="6" fontId="0" fillId="3" borderId="0" xfId="1" applyNumberFormat="1" applyFont="1" applyFill="1"/>
    <xf numFmtId="44" fontId="13" fillId="8" borderId="5" xfId="0" applyNumberFormat="1" applyFont="1" applyFill="1" applyBorder="1" applyAlignment="1">
      <alignment horizontal="center" vertical="center" wrapText="1"/>
    </xf>
    <xf numFmtId="0" fontId="0" fillId="3" borderId="0" xfId="0" applyNumberFormat="1" applyFill="1" applyAlignment="1">
      <alignment horizontal="center" vertical="center"/>
    </xf>
    <xf numFmtId="0" fontId="0" fillId="14" borderId="0" xfId="0" applyFill="1"/>
    <xf numFmtId="0" fontId="0" fillId="0" borderId="4" xfId="0" applyBorder="1" applyAlignment="1">
      <alignment horizontal="center" vertical="center" wrapText="1"/>
    </xf>
    <xf numFmtId="0" fontId="0" fillId="16" borderId="6" xfId="0" applyFill="1" applyBorder="1"/>
    <xf numFmtId="0" fontId="0" fillId="0" borderId="0" xfId="0"/>
    <xf numFmtId="0" fontId="20" fillId="14" borderId="0" xfId="0" applyFont="1" applyFill="1"/>
    <xf numFmtId="0" fontId="20" fillId="0" borderId="4" xfId="0" applyFont="1" applyBorder="1" applyAlignment="1">
      <alignment horizontal="center" vertical="center" wrapText="1"/>
    </xf>
    <xf numFmtId="0" fontId="0" fillId="15" borderId="13" xfId="0" applyFill="1" applyBorder="1" applyAlignment="1">
      <alignment horizontal="center" vertical="center" wrapText="1"/>
    </xf>
    <xf numFmtId="169" fontId="0" fillId="18" borderId="0" xfId="0" applyNumberFormat="1" applyFill="1"/>
    <xf numFmtId="0" fontId="20" fillId="0" borderId="14" xfId="0" applyFont="1" applyBorder="1"/>
    <xf numFmtId="0" fontId="0" fillId="0" borderId="14" xfId="0" applyBorder="1"/>
    <xf numFmtId="169" fontId="0" fillId="0" borderId="0" xfId="0" applyNumberFormat="1"/>
    <xf numFmtId="0" fontId="20" fillId="19" borderId="14" xfId="0" applyFont="1" applyFill="1" applyBorder="1" applyAlignment="1">
      <alignment horizontal="center"/>
    </xf>
    <xf numFmtId="0" fontId="20" fillId="19" borderId="14" xfId="0" applyFont="1" applyFill="1" applyBorder="1"/>
    <xf numFmtId="169" fontId="0" fillId="16" borderId="6" xfId="0" applyNumberFormat="1" applyFill="1" applyBorder="1"/>
    <xf numFmtId="169" fontId="20" fillId="0" borderId="14" xfId="0" applyNumberFormat="1" applyFont="1" applyBorder="1"/>
    <xf numFmtId="169" fontId="0" fillId="0" borderId="14" xfId="0" applyNumberFormat="1" applyBorder="1"/>
    <xf numFmtId="0" fontId="20" fillId="0" borderId="14" xfId="0" applyFont="1" applyBorder="1" applyAlignment="1">
      <alignment horizontal="center"/>
    </xf>
    <xf numFmtId="0" fontId="0" fillId="0" borderId="4" xfId="0" applyBorder="1" applyAlignment="1">
      <alignment vertical="center"/>
    </xf>
    <xf numFmtId="169" fontId="0" fillId="17" borderId="13" xfId="0" applyNumberFormat="1" applyFill="1" applyBorder="1"/>
    <xf numFmtId="169" fontId="0" fillId="20" borderId="13" xfId="0" applyNumberFormat="1" applyFill="1" applyBorder="1"/>
    <xf numFmtId="2" fontId="0" fillId="0" borderId="14" xfId="0" applyNumberFormat="1" applyBorder="1"/>
    <xf numFmtId="2" fontId="0" fillId="17" borderId="13" xfId="0" applyNumberFormat="1" applyFill="1" applyBorder="1"/>
    <xf numFmtId="169" fontId="0" fillId="17" borderId="0" xfId="0" applyNumberFormat="1" applyFill="1"/>
    <xf numFmtId="169" fontId="0" fillId="20" borderId="0" xfId="0" applyNumberFormat="1" applyFill="1"/>
    <xf numFmtId="2" fontId="0" fillId="21" borderId="0" xfId="0" applyNumberFormat="1" applyFill="1"/>
    <xf numFmtId="169" fontId="0" fillId="21" borderId="0" xfId="0" applyNumberFormat="1" applyFill="1"/>
    <xf numFmtId="8" fontId="13" fillId="9" borderId="7" xfId="0" applyNumberFormat="1" applyFont="1" applyFill="1" applyBorder="1" applyAlignment="1">
      <alignment horizontal="center" vertical="center" wrapText="1"/>
    </xf>
    <xf numFmtId="0" fontId="20" fillId="0" borderId="0" xfId="0" applyFont="1"/>
    <xf numFmtId="0" fontId="0" fillId="0" borderId="0" xfId="0" applyAlignment="1">
      <alignment horizontal="right"/>
    </xf>
    <xf numFmtId="0" fontId="23" fillId="0" borderId="22" xfId="0" applyFont="1" applyBorder="1" applyAlignment="1">
      <alignment horizontal="center"/>
    </xf>
    <xf numFmtId="0" fontId="23" fillId="0" borderId="24" xfId="0" applyFont="1" applyBorder="1" applyAlignment="1">
      <alignment horizontal="center"/>
    </xf>
    <xf numFmtId="0" fontId="24" fillId="0" borderId="25" xfId="0" applyFont="1" applyBorder="1"/>
    <xf numFmtId="0" fontId="0" fillId="0" borderId="1" xfId="0" applyBorder="1"/>
    <xf numFmtId="0" fontId="0" fillId="0" borderId="25" xfId="0" applyBorder="1"/>
    <xf numFmtId="0" fontId="23" fillId="0" borderId="25" xfId="0" applyFont="1" applyBorder="1" applyAlignment="1">
      <alignment horizontal="left"/>
    </xf>
    <xf numFmtId="0" fontId="0" fillId="0" borderId="29" xfId="0" applyBorder="1"/>
    <xf numFmtId="0" fontId="23" fillId="0" borderId="43" xfId="0" applyFont="1" applyBorder="1" applyAlignment="1">
      <alignment horizontal="center"/>
    </xf>
    <xf numFmtId="0" fontId="23" fillId="0" borderId="44" xfId="0" applyFont="1" applyBorder="1" applyAlignment="1">
      <alignment horizontal="center"/>
    </xf>
    <xf numFmtId="0" fontId="23" fillId="0" borderId="45" xfId="0" applyFont="1" applyBorder="1" applyAlignment="1">
      <alignment horizontal="center"/>
    </xf>
    <xf numFmtId="0" fontId="25" fillId="25" borderId="11" xfId="0" applyFont="1" applyFill="1" applyBorder="1"/>
    <xf numFmtId="0" fontId="23" fillId="0" borderId="27" xfId="0" applyFont="1" applyBorder="1"/>
    <xf numFmtId="0" fontId="25" fillId="26" borderId="1" xfId="0" applyFont="1" applyFill="1" applyBorder="1"/>
    <xf numFmtId="0" fontId="26" fillId="27" borderId="1" xfId="0" applyFont="1" applyFill="1" applyBorder="1"/>
    <xf numFmtId="43" fontId="22" fillId="27" borderId="32" xfId="0" applyNumberFormat="1" applyFont="1" applyFill="1" applyBorder="1" applyAlignment="1">
      <alignment horizontal="right"/>
    </xf>
    <xf numFmtId="43" fontId="22" fillId="27" borderId="33" xfId="0" applyNumberFormat="1" applyFont="1" applyFill="1" applyBorder="1" applyAlignment="1">
      <alignment horizontal="right"/>
    </xf>
    <xf numFmtId="43" fontId="22" fillId="27" borderId="33" xfId="0" applyNumberFormat="1" applyFont="1" applyFill="1" applyBorder="1" applyAlignment="1">
      <alignment horizontal="center"/>
    </xf>
    <xf numFmtId="43" fontId="22" fillId="27" borderId="34" xfId="0" applyNumberFormat="1" applyFont="1" applyFill="1" applyBorder="1" applyAlignment="1">
      <alignment horizontal="center"/>
    </xf>
    <xf numFmtId="43" fontId="22" fillId="27" borderId="34" xfId="0" applyNumberFormat="1" applyFont="1" applyFill="1" applyBorder="1" applyAlignment="1">
      <alignment horizontal="right"/>
    </xf>
    <xf numFmtId="0" fontId="0" fillId="0" borderId="11" xfId="0" applyBorder="1"/>
    <xf numFmtId="43" fontId="0" fillId="0" borderId="9" xfId="0" applyNumberFormat="1" applyBorder="1"/>
    <xf numFmtId="43" fontId="0" fillId="0" borderId="12" xfId="0" applyNumberFormat="1" applyBorder="1" applyAlignment="1">
      <alignment horizontal="right"/>
    </xf>
    <xf numFmtId="0" fontId="0" fillId="0" borderId="5" xfId="0" applyBorder="1"/>
    <xf numFmtId="0" fontId="0" fillId="0" borderId="6" xfId="0" applyBorder="1" applyAlignment="1">
      <alignment horizontal="right"/>
    </xf>
    <xf numFmtId="0" fontId="0" fillId="28" borderId="5" xfId="0" applyFill="1" applyBorder="1"/>
    <xf numFmtId="0" fontId="0" fillId="28" borderId="23" xfId="0" applyFill="1" applyBorder="1"/>
    <xf numFmtId="0" fontId="0" fillId="0" borderId="10" xfId="0" applyBorder="1" applyAlignment="1">
      <alignment horizontal="right"/>
    </xf>
    <xf numFmtId="0" fontId="0" fillId="0" borderId="10" xfId="0" applyBorder="1"/>
    <xf numFmtId="0" fontId="0" fillId="28" borderId="10" xfId="0" applyFill="1" applyBorder="1"/>
    <xf numFmtId="0" fontId="0" fillId="28" borderId="36" xfId="0" applyFill="1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4" xfId="0" applyBorder="1"/>
    <xf numFmtId="0" fontId="0" fillId="0" borderId="55" xfId="0" applyFont="1" applyBorder="1" applyAlignment="1">
      <alignment horizontal="center" vertical="center" wrapText="1"/>
    </xf>
    <xf numFmtId="0" fontId="0" fillId="0" borderId="56" xfId="0" applyFont="1" applyBorder="1" applyAlignment="1">
      <alignment horizontal="center" vertical="center" wrapText="1"/>
    </xf>
    <xf numFmtId="44" fontId="0" fillId="0" borderId="0" xfId="1" applyFont="1"/>
    <xf numFmtId="8" fontId="0" fillId="3" borderId="0" xfId="0" applyNumberFormat="1" applyFill="1"/>
    <xf numFmtId="2" fontId="0" fillId="0" borderId="0" xfId="0" applyNumberFormat="1"/>
    <xf numFmtId="44" fontId="0" fillId="0" borderId="0" xfId="0" applyNumberFormat="1"/>
    <xf numFmtId="0" fontId="0" fillId="0" borderId="0" xfId="0" applyAlignment="1">
      <alignment horizontal="center" vertical="center"/>
    </xf>
    <xf numFmtId="44" fontId="0" fillId="0" borderId="0" xfId="0" applyNumberFormat="1" applyAlignment="1">
      <alignment horizontal="center" vertical="center"/>
    </xf>
    <xf numFmtId="2" fontId="27" fillId="0" borderId="26" xfId="4" applyNumberFormat="1" applyFont="1" applyBorder="1" applyAlignment="1">
      <alignment horizontal="right"/>
    </xf>
    <xf numFmtId="2" fontId="28" fillId="0" borderId="3" xfId="4" applyNumberFormat="1" applyFont="1" applyBorder="1" applyAlignment="1">
      <alignment horizontal="right"/>
    </xf>
    <xf numFmtId="2" fontId="28" fillId="0" borderId="1" xfId="0" applyNumberFormat="1" applyFont="1" applyBorder="1"/>
    <xf numFmtId="2" fontId="28" fillId="0" borderId="0" xfId="0" applyNumberFormat="1" applyFont="1"/>
    <xf numFmtId="0" fontId="0" fillId="0" borderId="0" xfId="0" applyAlignment="1">
      <alignment horizontal="center"/>
    </xf>
    <xf numFmtId="0" fontId="19" fillId="0" borderId="0" xfId="0" applyFont="1"/>
    <xf numFmtId="0" fontId="0" fillId="31" borderId="0" xfId="0" applyFill="1"/>
    <xf numFmtId="44" fontId="19" fillId="0" borderId="0" xfId="0" applyNumberFormat="1" applyFont="1"/>
    <xf numFmtId="0" fontId="22" fillId="0" borderId="63" xfId="0" applyFont="1" applyBorder="1"/>
    <xf numFmtId="0" fontId="0" fillId="0" borderId="64" xfId="0" applyBorder="1"/>
    <xf numFmtId="0" fontId="22" fillId="0" borderId="65" xfId="0" applyFont="1" applyBorder="1"/>
    <xf numFmtId="0" fontId="0" fillId="0" borderId="66" xfId="0" applyBorder="1"/>
    <xf numFmtId="0" fontId="0" fillId="0" borderId="17" xfId="0" applyBorder="1"/>
    <xf numFmtId="0" fontId="0" fillId="0" borderId="18" xfId="0" applyBorder="1"/>
    <xf numFmtId="0" fontId="0" fillId="0" borderId="67" xfId="0" applyBorder="1"/>
    <xf numFmtId="0" fontId="0" fillId="0" borderId="68" xfId="0" applyBorder="1"/>
    <xf numFmtId="0" fontId="23" fillId="0" borderId="23" xfId="0" applyFont="1" applyBorder="1" applyAlignment="1">
      <alignment horizontal="center"/>
    </xf>
    <xf numFmtId="2" fontId="28" fillId="0" borderId="26" xfId="4" applyNumberFormat="1" applyFont="1" applyBorder="1" applyAlignment="1">
      <alignment horizontal="right"/>
    </xf>
    <xf numFmtId="3" fontId="0" fillId="0" borderId="0" xfId="0" applyNumberFormat="1" applyAlignment="1">
      <alignment horizontal="right"/>
    </xf>
    <xf numFmtId="3" fontId="0" fillId="0" borderId="0" xfId="0" applyNumberFormat="1"/>
    <xf numFmtId="0" fontId="0" fillId="0" borderId="4" xfId="0" applyBorder="1" applyAlignment="1">
      <alignment horizontal="right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0" fillId="0" borderId="9" xfId="0" applyBorder="1" applyAlignment="1"/>
    <xf numFmtId="0" fontId="0" fillId="0" borderId="0" xfId="0" applyBorder="1" applyAlignment="1"/>
    <xf numFmtId="0" fontId="0" fillId="0" borderId="10" xfId="0" applyBorder="1" applyAlignment="1"/>
    <xf numFmtId="43" fontId="20" fillId="0" borderId="61" xfId="4" applyNumberFormat="1" applyFont="1" applyBorder="1" applyAlignment="1">
      <alignment horizontal="right"/>
    </xf>
    <xf numFmtId="43" fontId="29" fillId="25" borderId="59" xfId="4" applyNumberFormat="1" applyFont="1" applyFill="1" applyBorder="1" applyAlignment="1">
      <alignment horizontal="right"/>
    </xf>
    <xf numFmtId="43" fontId="21" fillId="0" borderId="61" xfId="0" applyNumberFormat="1" applyFont="1" applyBorder="1" applyAlignment="1">
      <alignment horizontal="center"/>
    </xf>
    <xf numFmtId="43" fontId="29" fillId="25" borderId="8" xfId="4" applyNumberFormat="1" applyFont="1" applyFill="1" applyBorder="1" applyAlignment="1">
      <alignment horizontal="right"/>
    </xf>
    <xf numFmtId="43" fontId="29" fillId="25" borderId="52" xfId="4" applyNumberFormat="1" applyFont="1" applyFill="1" applyBorder="1" applyAlignment="1">
      <alignment horizontal="right"/>
    </xf>
    <xf numFmtId="0" fontId="30" fillId="29" borderId="61" xfId="0" applyFont="1" applyFill="1" applyBorder="1"/>
    <xf numFmtId="43" fontId="29" fillId="25" borderId="51" xfId="4" applyNumberFormat="1" applyFont="1" applyFill="1" applyBorder="1" applyAlignment="1">
      <alignment horizontal="right"/>
    </xf>
    <xf numFmtId="43" fontId="29" fillId="25" borderId="11" xfId="4" applyNumberFormat="1" applyFont="1" applyFill="1" applyBorder="1" applyAlignment="1">
      <alignment horizontal="right"/>
    </xf>
    <xf numFmtId="43" fontId="29" fillId="25" borderId="70" xfId="4" applyNumberFormat="1" applyFont="1" applyFill="1" applyBorder="1" applyAlignment="1">
      <alignment horizontal="right"/>
    </xf>
    <xf numFmtId="43" fontId="29" fillId="25" borderId="60" xfId="4" applyNumberFormat="1" applyFont="1" applyFill="1" applyBorder="1" applyAlignment="1">
      <alignment horizontal="right"/>
    </xf>
    <xf numFmtId="43" fontId="21" fillId="0" borderId="71" xfId="4" applyNumberFormat="1" applyFont="1" applyBorder="1" applyAlignment="1">
      <alignment horizontal="right"/>
    </xf>
    <xf numFmtId="43" fontId="21" fillId="0" borderId="61" xfId="4" applyNumberFormat="1" applyFont="1" applyBorder="1" applyAlignment="1">
      <alignment horizontal="right"/>
    </xf>
    <xf numFmtId="43" fontId="20" fillId="0" borderId="62" xfId="4" applyNumberFormat="1" applyFont="1" applyBorder="1" applyAlignment="1">
      <alignment horizontal="right"/>
    </xf>
    <xf numFmtId="43" fontId="20" fillId="0" borderId="49" xfId="4" applyNumberFormat="1" applyFont="1" applyBorder="1" applyAlignment="1">
      <alignment horizontal="right"/>
    </xf>
    <xf numFmtId="43" fontId="20" fillId="0" borderId="4" xfId="4" applyNumberFormat="1" applyFont="1" applyBorder="1" applyAlignment="1">
      <alignment horizontal="right"/>
    </xf>
    <xf numFmtId="43" fontId="20" fillId="0" borderId="4" xfId="0" applyNumberFormat="1" applyFont="1" applyBorder="1" applyAlignment="1">
      <alignment horizontal="center"/>
    </xf>
    <xf numFmtId="43" fontId="20" fillId="0" borderId="50" xfId="0" applyNumberFormat="1" applyFont="1" applyBorder="1" applyAlignment="1">
      <alignment horizontal="center"/>
    </xf>
    <xf numFmtId="43" fontId="20" fillId="0" borderId="1" xfId="4" applyNumberFormat="1" applyFont="1" applyBorder="1" applyAlignment="1">
      <alignment horizontal="right"/>
    </xf>
    <xf numFmtId="6" fontId="20" fillId="0" borderId="4" xfId="4" applyNumberFormat="1" applyFont="1" applyBorder="1" applyAlignment="1">
      <alignment horizontal="right"/>
    </xf>
    <xf numFmtId="8" fontId="20" fillId="0" borderId="4" xfId="4" applyNumberFormat="1" applyFont="1" applyBorder="1" applyAlignment="1">
      <alignment horizontal="right"/>
    </xf>
    <xf numFmtId="43" fontId="20" fillId="0" borderId="51" xfId="4" applyNumberFormat="1" applyFont="1" applyBorder="1" applyAlignment="1">
      <alignment horizontal="right"/>
    </xf>
    <xf numFmtId="43" fontId="20" fillId="0" borderId="8" xfId="4" applyNumberFormat="1" applyFont="1" applyBorder="1" applyAlignment="1">
      <alignment horizontal="right"/>
    </xf>
    <xf numFmtId="43" fontId="20" fillId="0" borderId="52" xfId="4" applyNumberFormat="1" applyFont="1" applyBorder="1" applyAlignment="1">
      <alignment horizontal="right"/>
    </xf>
    <xf numFmtId="43" fontId="0" fillId="0" borderId="0" xfId="0" applyNumberFormat="1"/>
    <xf numFmtId="43" fontId="0" fillId="28" borderId="0" xfId="0" applyNumberFormat="1" applyFill="1"/>
    <xf numFmtId="2" fontId="0" fillId="28" borderId="10" xfId="0" applyNumberFormat="1" applyFill="1" applyBorder="1"/>
    <xf numFmtId="2" fontId="0" fillId="28" borderId="36" xfId="0" applyNumberFormat="1" applyFill="1" applyBorder="1" applyAlignment="1">
      <alignment horizontal="right"/>
    </xf>
    <xf numFmtId="43" fontId="0" fillId="0" borderId="4" xfId="4" applyNumberFormat="1" applyFont="1" applyBorder="1" applyAlignment="1">
      <alignment horizontal="right"/>
    </xf>
    <xf numFmtId="43" fontId="0" fillId="0" borderId="4" xfId="0" applyNumberFormat="1" applyBorder="1" applyAlignment="1">
      <alignment horizontal="center"/>
    </xf>
    <xf numFmtId="43" fontId="0" fillId="0" borderId="50" xfId="0" applyNumberFormat="1" applyBorder="1" applyAlignment="1">
      <alignment horizontal="center"/>
    </xf>
    <xf numFmtId="43" fontId="0" fillId="0" borderId="49" xfId="4" applyNumberFormat="1" applyFont="1" applyBorder="1" applyAlignment="1">
      <alignment horizontal="right"/>
    </xf>
    <xf numFmtId="43" fontId="32" fillId="0" borderId="0" xfId="0" applyNumberFormat="1" applyFont="1"/>
    <xf numFmtId="43" fontId="33" fillId="0" borderId="0" xfId="0" applyNumberFormat="1" applyFont="1"/>
    <xf numFmtId="43" fontId="0" fillId="0" borderId="1" xfId="4" applyNumberFormat="1" applyFont="1" applyBorder="1" applyAlignment="1">
      <alignment horizontal="right"/>
    </xf>
    <xf numFmtId="43" fontId="34" fillId="25" borderId="51" xfId="4" applyNumberFormat="1" applyFont="1" applyFill="1" applyBorder="1" applyAlignment="1">
      <alignment horizontal="right"/>
    </xf>
    <xf numFmtId="43" fontId="0" fillId="0" borderId="8" xfId="4" applyNumberFormat="1" applyFont="1" applyBorder="1" applyAlignment="1">
      <alignment horizontal="right"/>
    </xf>
    <xf numFmtId="43" fontId="0" fillId="0" borderId="51" xfId="4" applyNumberFormat="1" applyFont="1" applyBorder="1" applyAlignment="1">
      <alignment horizontal="right"/>
    </xf>
    <xf numFmtId="43" fontId="34" fillId="25" borderId="11" xfId="4" applyNumberFormat="1" applyFont="1" applyFill="1" applyBorder="1" applyAlignment="1">
      <alignment horizontal="right"/>
    </xf>
    <xf numFmtId="43" fontId="34" fillId="25" borderId="8" xfId="4" applyNumberFormat="1" applyFont="1" applyFill="1" applyBorder="1" applyAlignment="1">
      <alignment horizontal="right"/>
    </xf>
    <xf numFmtId="0" fontId="0" fillId="0" borderId="0" xfId="0" applyAlignment="1">
      <alignment horizontal="center" vertical="center" wrapText="1"/>
    </xf>
    <xf numFmtId="0" fontId="2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 wrapText="1"/>
    </xf>
    <xf numFmtId="0" fontId="10" fillId="6" borderId="1" xfId="0" applyFont="1" applyFill="1" applyBorder="1" applyAlignment="1">
      <alignment horizontal="center" vertical="center" wrapText="1"/>
    </xf>
    <xf numFmtId="0" fontId="13" fillId="8" borderId="5" xfId="0" applyFont="1" applyFill="1" applyBorder="1" applyAlignment="1">
      <alignment wrapText="1"/>
    </xf>
    <xf numFmtId="0" fontId="22" fillId="0" borderId="4" xfId="0" applyFont="1" applyBorder="1" applyAlignment="1">
      <alignment horizontal="center"/>
    </xf>
    <xf numFmtId="0" fontId="22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2" fillId="12" borderId="0" xfId="0" applyFont="1" applyFill="1" applyAlignment="1">
      <alignment horizontal="center" vertical="center"/>
    </xf>
    <xf numFmtId="0" fontId="0" fillId="13" borderId="0" xfId="0" applyFill="1" applyAlignment="1">
      <alignment horizontal="center" vertical="center" wrapText="1"/>
    </xf>
    <xf numFmtId="0" fontId="13" fillId="8" borderId="5" xfId="0" applyFont="1" applyFill="1" applyBorder="1" applyAlignment="1">
      <alignment wrapText="1"/>
    </xf>
    <xf numFmtId="0" fontId="13" fillId="8" borderId="0" xfId="0" applyFont="1" applyFill="1" applyAlignment="1">
      <alignment wrapText="1"/>
    </xf>
    <xf numFmtId="0" fontId="13" fillId="8" borderId="6" xfId="0" applyFont="1" applyFill="1" applyBorder="1" applyAlignment="1">
      <alignment wrapText="1"/>
    </xf>
    <xf numFmtId="0" fontId="10" fillId="6" borderId="1" xfId="0" applyFont="1" applyFill="1" applyBorder="1" applyAlignment="1">
      <alignment horizontal="center" vertical="center" wrapText="1"/>
    </xf>
    <xf numFmtId="0" fontId="11" fillId="6" borderId="2" xfId="0" applyFont="1" applyFill="1" applyBorder="1" applyAlignment="1"/>
    <xf numFmtId="0" fontId="5" fillId="3" borderId="0" xfId="0" applyFont="1" applyFill="1" applyAlignment="1">
      <alignment horizontal="center" vertical="center"/>
    </xf>
    <xf numFmtId="0" fontId="7" fillId="0" borderId="0" xfId="2" applyFont="1" applyFill="1" applyBorder="1" applyAlignment="1">
      <alignment horizontal="center" vertical="center" wrapText="1"/>
    </xf>
    <xf numFmtId="0" fontId="8" fillId="0" borderId="0" xfId="0" applyFont="1" applyAlignment="1">
      <alignment wrapText="1"/>
    </xf>
    <xf numFmtId="0" fontId="0" fillId="6" borderId="2" xfId="0" applyFill="1" applyBorder="1" applyAlignment="1">
      <alignment horizontal="center" vertical="center" wrapText="1"/>
    </xf>
    <xf numFmtId="0" fontId="0" fillId="6" borderId="3" xfId="0" applyFill="1" applyBorder="1" applyAlignment="1">
      <alignment horizontal="center" vertical="center" wrapText="1"/>
    </xf>
    <xf numFmtId="0" fontId="11" fillId="6" borderId="3" xfId="0" applyFont="1" applyFill="1" applyBorder="1" applyAlignment="1"/>
    <xf numFmtId="0" fontId="12" fillId="6" borderId="2" xfId="0" applyFont="1" applyFill="1" applyBorder="1" applyAlignment="1">
      <alignment horizontal="center" vertical="center" wrapText="1"/>
    </xf>
    <xf numFmtId="0" fontId="12" fillId="6" borderId="3" xfId="0" applyFont="1" applyFill="1" applyBorder="1" applyAlignment="1">
      <alignment horizontal="center" vertical="center" wrapText="1"/>
    </xf>
    <xf numFmtId="0" fontId="21" fillId="16" borderId="5" xfId="0" applyFont="1" applyFill="1" applyBorder="1" applyAlignment="1"/>
    <xf numFmtId="0" fontId="20" fillId="0" borderId="0" xfId="0" applyFont="1" applyAlignment="1"/>
    <xf numFmtId="0" fontId="20" fillId="0" borderId="6" xfId="0" applyFont="1" applyBorder="1" applyAlignment="1"/>
    <xf numFmtId="0" fontId="21" fillId="17" borderId="13" xfId="0" applyFont="1" applyFill="1" applyBorder="1" applyAlignment="1">
      <alignment horizontal="right"/>
    </xf>
    <xf numFmtId="0" fontId="19" fillId="21" borderId="9" xfId="0" applyFont="1" applyFill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21" fillId="16" borderId="11" xfId="0" applyFont="1" applyFill="1" applyBorder="1" applyAlignment="1"/>
    <xf numFmtId="0" fontId="20" fillId="0" borderId="9" xfId="0" applyFont="1" applyBorder="1" applyAlignment="1"/>
    <xf numFmtId="0" fontId="20" fillId="0" borderId="12" xfId="0" applyFont="1" applyBorder="1" applyAlignment="1"/>
    <xf numFmtId="0" fontId="0" fillId="0" borderId="13" xfId="0" applyBorder="1" applyAlignment="1">
      <alignment horizontal="center" vertical="center"/>
    </xf>
    <xf numFmtId="0" fontId="0" fillId="0" borderId="53" xfId="0" applyBorder="1" applyAlignment="1">
      <alignment horizontal="center" vertical="center" wrapText="1"/>
    </xf>
    <xf numFmtId="0" fontId="0" fillId="0" borderId="54" xfId="0" applyBorder="1" applyAlignment="1">
      <alignment horizontal="center" vertical="center" wrapText="1"/>
    </xf>
    <xf numFmtId="0" fontId="0" fillId="0" borderId="57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22" fillId="23" borderId="32" xfId="0" applyFont="1" applyFill="1" applyBorder="1" applyAlignment="1">
      <alignment horizontal="center"/>
    </xf>
    <xf numFmtId="0" fontId="0" fillId="23" borderId="33" xfId="0" applyFill="1" applyBorder="1" applyAlignment="1"/>
    <xf numFmtId="0" fontId="0" fillId="23" borderId="35" xfId="0" applyFill="1" applyBorder="1" applyAlignment="1"/>
    <xf numFmtId="0" fontId="23" fillId="24" borderId="38" xfId="0" applyFont="1" applyFill="1" applyBorder="1" applyAlignment="1">
      <alignment horizontal="center" vertical="center" wrapText="1" shrinkToFit="1"/>
    </xf>
    <xf numFmtId="0" fontId="23" fillId="24" borderId="39" xfId="0" applyFont="1" applyFill="1" applyBorder="1" applyAlignment="1">
      <alignment horizontal="center"/>
    </xf>
    <xf numFmtId="0" fontId="23" fillId="15" borderId="40" xfId="0" applyFont="1" applyFill="1" applyBorder="1" applyAlignment="1">
      <alignment horizontal="center" vertical="center" wrapText="1" shrinkToFit="1"/>
    </xf>
    <xf numFmtId="0" fontId="23" fillId="15" borderId="39" xfId="0" applyFont="1" applyFill="1" applyBorder="1" applyAlignment="1">
      <alignment horizontal="center"/>
    </xf>
    <xf numFmtId="0" fontId="23" fillId="22" borderId="40" xfId="0" applyFont="1" applyFill="1" applyBorder="1" applyAlignment="1">
      <alignment horizontal="center" vertical="center" wrapText="1" shrinkToFit="1"/>
    </xf>
    <xf numFmtId="0" fontId="23" fillId="22" borderId="39" xfId="0" applyFont="1" applyFill="1" applyBorder="1" applyAlignment="1">
      <alignment horizontal="center"/>
    </xf>
    <xf numFmtId="0" fontId="0" fillId="0" borderId="41" xfId="0" applyBorder="1" applyAlignment="1">
      <alignment horizontal="center" vertical="center" wrapText="1"/>
    </xf>
    <xf numFmtId="0" fontId="0" fillId="0" borderId="44" xfId="0" applyBorder="1" applyAlignment="1">
      <alignment horizontal="center" vertical="center" wrapText="1"/>
    </xf>
    <xf numFmtId="0" fontId="0" fillId="0" borderId="42" xfId="0" applyBorder="1" applyAlignment="1">
      <alignment horizontal="center" vertical="center" wrapText="1"/>
    </xf>
    <xf numFmtId="0" fontId="0" fillId="0" borderId="48" xfId="0" applyBorder="1" applyAlignment="1">
      <alignment horizontal="center" vertical="center" wrapText="1"/>
    </xf>
    <xf numFmtId="3" fontId="28" fillId="0" borderId="27" xfId="0" applyNumberFormat="1" applyFont="1" applyBorder="1" applyAlignment="1">
      <alignment horizontal="center"/>
    </xf>
    <xf numFmtId="3" fontId="28" fillId="0" borderId="28" xfId="0" applyNumberFormat="1" applyFont="1" applyBorder="1" applyAlignment="1">
      <alignment horizontal="center"/>
    </xf>
    <xf numFmtId="3" fontId="28" fillId="0" borderId="30" xfId="0" applyNumberFormat="1" applyFont="1" applyBorder="1" applyAlignment="1">
      <alignment horizontal="center"/>
    </xf>
    <xf numFmtId="3" fontId="28" fillId="0" borderId="31" xfId="0" applyNumberFormat="1" applyFont="1" applyBorder="1" applyAlignment="1">
      <alignment horizontal="center"/>
    </xf>
    <xf numFmtId="0" fontId="22" fillId="0" borderId="0" xfId="0" applyFont="1" applyAlignment="1">
      <alignment horizontal="center"/>
    </xf>
    <xf numFmtId="0" fontId="0" fillId="23" borderId="34" xfId="0" applyFill="1" applyBorder="1" applyAlignment="1"/>
    <xf numFmtId="0" fontId="0" fillId="22" borderId="0" xfId="0" applyFill="1" applyAlignment="1">
      <alignment horizontal="center"/>
    </xf>
    <xf numFmtId="0" fontId="22" fillId="0" borderId="15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0" fontId="22" fillId="0" borderId="18" xfId="0" applyFont="1" applyBorder="1" applyAlignment="1">
      <alignment horizontal="center"/>
    </xf>
    <xf numFmtId="0" fontId="22" fillId="0" borderId="19" xfId="0" applyFont="1" applyBorder="1" applyAlignment="1">
      <alignment horizontal="center"/>
    </xf>
    <xf numFmtId="0" fontId="22" fillId="0" borderId="16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0" fillId="0" borderId="17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23" xfId="0" applyBorder="1" applyAlignment="1"/>
    <xf numFmtId="0" fontId="23" fillId="15" borderId="23" xfId="0" applyFont="1" applyFill="1" applyBorder="1" applyAlignment="1">
      <alignment horizontal="center" vertical="center" wrapText="1" shrinkToFit="1"/>
    </xf>
    <xf numFmtId="0" fontId="23" fillId="15" borderId="36" xfId="0" applyFont="1" applyFill="1" applyBorder="1" applyAlignment="1">
      <alignment horizontal="center"/>
    </xf>
    <xf numFmtId="0" fontId="23" fillId="22" borderId="23" xfId="0" applyFont="1" applyFill="1" applyBorder="1" applyAlignment="1">
      <alignment horizontal="center" vertical="center" wrapText="1" shrinkToFit="1"/>
    </xf>
    <xf numFmtId="0" fontId="23" fillId="22" borderId="36" xfId="0" applyFont="1" applyFill="1" applyBorder="1" applyAlignment="1">
      <alignment horizontal="center"/>
    </xf>
    <xf numFmtId="0" fontId="0" fillId="0" borderId="23" xfId="0" applyBorder="1" applyAlignment="1">
      <alignment horizontal="center" vertical="center" wrapText="1"/>
    </xf>
    <xf numFmtId="0" fontId="0" fillId="0" borderId="46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23" fillId="24" borderId="69" xfId="0" applyFont="1" applyFill="1" applyBorder="1" applyAlignment="1">
      <alignment horizontal="center" vertical="center" wrapText="1" shrinkToFit="1"/>
    </xf>
    <xf numFmtId="0" fontId="23" fillId="24" borderId="36" xfId="0" applyFont="1" applyFill="1" applyBorder="1" applyAlignment="1">
      <alignment horizontal="center"/>
    </xf>
    <xf numFmtId="0" fontId="22" fillId="0" borderId="4" xfId="0" applyFont="1" applyBorder="1" applyAlignment="1">
      <alignment horizontal="center"/>
    </xf>
    <xf numFmtId="0" fontId="22" fillId="0" borderId="1" xfId="0" applyFont="1" applyBorder="1" applyAlignment="1">
      <alignment horizontal="center"/>
    </xf>
    <xf numFmtId="0" fontId="22" fillId="0" borderId="2" xfId="0" applyFont="1" applyBorder="1" applyAlignment="1">
      <alignment horizontal="center"/>
    </xf>
    <xf numFmtId="0" fontId="22" fillId="0" borderId="3" xfId="0" applyFont="1" applyBorder="1" applyAlignment="1">
      <alignment horizontal="center"/>
    </xf>
    <xf numFmtId="0" fontId="0" fillId="24" borderId="73" xfId="0" applyFill="1" applyBorder="1" applyAlignment="1">
      <alignment horizontal="center"/>
    </xf>
    <xf numFmtId="0" fontId="0" fillId="32" borderId="73" xfId="0" applyFill="1" applyBorder="1" applyAlignment="1">
      <alignment horizontal="center"/>
    </xf>
    <xf numFmtId="0" fontId="28" fillId="30" borderId="73" xfId="0" applyFont="1" applyFill="1" applyBorder="1" applyAlignment="1">
      <alignment horizontal="center"/>
    </xf>
    <xf numFmtId="0" fontId="28" fillId="30" borderId="74" xfId="0" applyFont="1" applyFill="1" applyBorder="1" applyAlignment="1">
      <alignment horizontal="center"/>
    </xf>
    <xf numFmtId="0" fontId="0" fillId="32" borderId="74" xfId="0" applyFill="1" applyBorder="1" applyAlignment="1">
      <alignment horizontal="center"/>
    </xf>
    <xf numFmtId="0" fontId="31" fillId="33" borderId="78" xfId="0" applyFont="1" applyFill="1" applyBorder="1" applyAlignment="1">
      <alignment horizontal="center"/>
    </xf>
    <xf numFmtId="0" fontId="28" fillId="30" borderId="72" xfId="0" applyFont="1" applyFill="1" applyBorder="1" applyAlignment="1">
      <alignment horizontal="center"/>
    </xf>
    <xf numFmtId="0" fontId="0" fillId="24" borderId="72" xfId="0" applyFill="1" applyBorder="1" applyAlignment="1">
      <alignment horizontal="center"/>
    </xf>
    <xf numFmtId="0" fontId="0" fillId="24" borderId="74" xfId="0" applyFill="1" applyBorder="1" applyAlignment="1">
      <alignment horizontal="center"/>
    </xf>
  </cellXfs>
  <cellStyles count="5">
    <cellStyle name="Coma" xfId="4" builtinId="3"/>
    <cellStyle name="Énfasis6" xfId="2" builtinId="49"/>
    <cellStyle name="Moneda" xfId="1" builtinId="4"/>
    <cellStyle name="Normal" xfId="0" builtinId="0"/>
    <cellStyle name="Porcentaje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19050</xdr:colOff>
      <xdr:row>1</xdr:row>
      <xdr:rowOff>0</xdr:rowOff>
    </xdr:from>
    <xdr:to>
      <xdr:col>10</xdr:col>
      <xdr:colOff>981075</xdr:colOff>
      <xdr:row>2</xdr:row>
      <xdr:rowOff>219075</xdr:rowOff>
    </xdr:to>
    <xdr:sp macro="[0]!copy2" textlink="">
      <xdr:nvSpPr>
        <xdr:cNvPr id="2" name="Rectángulo: biselado 1">
          <a:extLst>
            <a:ext uri="{FF2B5EF4-FFF2-40B4-BE49-F238E27FC236}">
              <a16:creationId xmlns:a16="http://schemas.microsoft.com/office/drawing/2014/main" id="{4437FD66-328B-43EC-94F1-C7DD21ECA62D}"/>
            </a:ext>
          </a:extLst>
        </xdr:cNvPr>
        <xdr:cNvSpPr/>
      </xdr:nvSpPr>
      <xdr:spPr>
        <a:xfrm>
          <a:off x="8458200" y="190500"/>
          <a:ext cx="3914775" cy="4191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MX" sz="1800"/>
            <a:t>Actualizar</a:t>
          </a:r>
          <a:endParaRPr lang="es-MX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A51AB2-7855-405D-8EA8-60FADF5C8D75}">
  <dimension ref="A1:AI154"/>
  <sheetViews>
    <sheetView workbookViewId="0">
      <selection activeCell="C12" sqref="C12"/>
    </sheetView>
  </sheetViews>
  <sheetFormatPr defaultColWidth="11.5546875" defaultRowHeight="15"/>
  <cols>
    <col min="2" max="2" width="27.5546875" customWidth="1"/>
    <col min="3" max="3" width="19" customWidth="1"/>
    <col min="4" max="4" width="21.21875" customWidth="1"/>
    <col min="6" max="6" width="17.77734375" customWidth="1"/>
  </cols>
  <sheetData>
    <row r="1" spans="1:3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</row>
    <row r="2" spans="1:35" ht="15.75">
      <c r="A2" s="2"/>
      <c r="B2" s="46" t="s">
        <v>0</v>
      </c>
      <c r="C2" s="46" t="s">
        <v>1</v>
      </c>
      <c r="D2" s="46" t="s">
        <v>2</v>
      </c>
      <c r="E2" s="76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76"/>
      <c r="AA2" s="76"/>
      <c r="AB2" s="76"/>
      <c r="AC2" s="76"/>
      <c r="AD2" s="76"/>
      <c r="AE2" s="76"/>
      <c r="AF2" s="76"/>
      <c r="AG2" s="76"/>
      <c r="AH2" s="76"/>
      <c r="AI2" s="76"/>
    </row>
    <row r="3" spans="1:35" ht="15.75">
      <c r="A3" s="2"/>
      <c r="B3" s="47" t="s">
        <v>3</v>
      </c>
      <c r="C3" s="48">
        <v>125</v>
      </c>
      <c r="D3" s="49">
        <v>75000</v>
      </c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76"/>
      <c r="AA3" s="76"/>
      <c r="AB3" s="76"/>
      <c r="AC3" s="76"/>
      <c r="AD3" s="76"/>
      <c r="AE3" s="76"/>
      <c r="AF3" s="76"/>
      <c r="AG3" s="76"/>
      <c r="AH3" s="76"/>
      <c r="AI3" s="76"/>
    </row>
    <row r="4" spans="1:35" ht="15.75">
      <c r="A4" s="2"/>
      <c r="B4" s="50" t="s">
        <v>4</v>
      </c>
      <c r="C4" s="51">
        <v>75</v>
      </c>
      <c r="D4" s="52">
        <v>45000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76"/>
      <c r="AA4" s="76"/>
      <c r="AB4" s="76"/>
      <c r="AC4" s="76"/>
      <c r="AD4" s="76"/>
      <c r="AE4" s="76"/>
      <c r="AF4" s="76"/>
      <c r="AG4" s="76"/>
      <c r="AH4" s="76"/>
      <c r="AI4" s="76"/>
    </row>
    <row r="5" spans="1:35" ht="15.75">
      <c r="A5" s="2"/>
      <c r="B5" s="47" t="s">
        <v>5</v>
      </c>
      <c r="C5" s="48">
        <v>100</v>
      </c>
      <c r="D5" s="49">
        <v>60000</v>
      </c>
      <c r="E5" s="2"/>
      <c r="F5" s="46" t="s">
        <v>6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76"/>
      <c r="AA5" s="76"/>
      <c r="AB5" s="76"/>
      <c r="AC5" s="76"/>
      <c r="AD5" s="76"/>
      <c r="AE5" s="76"/>
      <c r="AF5" s="76"/>
      <c r="AG5" s="76"/>
      <c r="AH5" s="76"/>
      <c r="AI5" s="76"/>
    </row>
    <row r="6" spans="1:35" ht="15.75">
      <c r="A6" s="2"/>
      <c r="B6" s="50" t="s">
        <v>7</v>
      </c>
      <c r="C6" s="51">
        <v>50</v>
      </c>
      <c r="D6" s="52">
        <v>30000</v>
      </c>
      <c r="E6" s="2"/>
      <c r="F6" s="54">
        <v>600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76"/>
      <c r="AA6" s="76"/>
      <c r="AB6" s="76"/>
      <c r="AC6" s="76"/>
      <c r="AD6" s="76"/>
      <c r="AE6" s="76"/>
      <c r="AF6" s="76"/>
      <c r="AG6" s="76"/>
      <c r="AH6" s="76"/>
      <c r="AI6" s="76"/>
    </row>
    <row r="7" spans="1:35" ht="15.75">
      <c r="A7" s="2"/>
      <c r="B7" s="47" t="s">
        <v>8</v>
      </c>
      <c r="C7" s="48">
        <v>300</v>
      </c>
      <c r="D7" s="49">
        <v>180000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76"/>
      <c r="AA7" s="76"/>
      <c r="AB7" s="76"/>
      <c r="AC7" s="76"/>
      <c r="AD7" s="76"/>
      <c r="AE7" s="76"/>
      <c r="AF7" s="76"/>
      <c r="AG7" s="76"/>
      <c r="AH7" s="76"/>
      <c r="AI7" s="76"/>
    </row>
    <row r="8" spans="1:35" ht="15.75">
      <c r="A8" s="2"/>
      <c r="B8" s="52" t="s">
        <v>9</v>
      </c>
      <c r="C8" s="52"/>
      <c r="D8" s="52">
        <f>SUM(D3:D7)</f>
        <v>390000</v>
      </c>
      <c r="E8" s="2"/>
      <c r="F8" s="76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76"/>
      <c r="AA8" s="76"/>
      <c r="AB8" s="76"/>
      <c r="AC8" s="76"/>
      <c r="AD8" s="76"/>
      <c r="AE8" s="76"/>
      <c r="AF8" s="76"/>
      <c r="AG8" s="76"/>
      <c r="AH8" s="76"/>
      <c r="AI8" s="76"/>
    </row>
    <row r="9" spans="1:3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76"/>
      <c r="AA9" s="76"/>
      <c r="AB9" s="76"/>
      <c r="AC9" s="76"/>
      <c r="AD9" s="76"/>
      <c r="AE9" s="76"/>
      <c r="AF9" s="76"/>
      <c r="AG9" s="76"/>
      <c r="AH9" s="76"/>
      <c r="AI9" s="76"/>
    </row>
    <row r="10" spans="1: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76"/>
      <c r="AA10" s="76"/>
      <c r="AB10" s="76"/>
      <c r="AC10" s="76"/>
      <c r="AD10" s="76"/>
      <c r="AE10" s="76"/>
      <c r="AF10" s="76"/>
      <c r="AG10" s="76"/>
      <c r="AH10" s="76"/>
      <c r="AI10" s="76"/>
    </row>
    <row r="11" spans="1:3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76"/>
      <c r="AA11" s="76"/>
      <c r="AB11" s="76"/>
      <c r="AC11" s="76"/>
      <c r="AD11" s="76"/>
      <c r="AE11" s="76"/>
      <c r="AF11" s="76"/>
      <c r="AG11" s="76"/>
      <c r="AH11" s="76"/>
      <c r="AI11" s="76"/>
    </row>
    <row r="12" spans="1:35">
      <c r="A12" s="2"/>
      <c r="B12" s="2" t="s">
        <v>10</v>
      </c>
      <c r="C12" s="69">
        <f ca="1">'Inversion Total'!C66+'Inversion Total'!E67</f>
        <v>0</v>
      </c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76"/>
      <c r="AA12" s="76"/>
      <c r="AB12" s="76"/>
      <c r="AC12" s="76"/>
      <c r="AD12" s="76"/>
      <c r="AE12" s="76"/>
      <c r="AF12" s="76"/>
      <c r="AG12" s="76"/>
      <c r="AH12" s="76"/>
      <c r="AI12" s="76"/>
    </row>
    <row r="13" spans="1:3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76"/>
      <c r="AA13" s="76"/>
      <c r="AB13" s="76"/>
      <c r="AC13" s="76"/>
      <c r="AD13" s="76"/>
      <c r="AE13" s="76"/>
      <c r="AF13" s="76"/>
      <c r="AG13" s="76"/>
      <c r="AH13" s="76"/>
      <c r="AI13" s="76"/>
    </row>
    <row r="14" spans="1:3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76"/>
      <c r="AA14" s="76"/>
      <c r="AB14" s="76"/>
      <c r="AC14" s="76"/>
      <c r="AD14" s="76"/>
      <c r="AE14" s="76"/>
      <c r="AF14" s="76"/>
      <c r="AG14" s="76"/>
      <c r="AH14" s="76"/>
      <c r="AI14" s="76"/>
    </row>
    <row r="15" spans="1:3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76"/>
      <c r="AA15" s="76"/>
      <c r="AB15" s="76"/>
      <c r="AC15" s="76"/>
      <c r="AD15" s="76"/>
      <c r="AE15" s="76"/>
      <c r="AF15" s="76"/>
      <c r="AG15" s="76"/>
      <c r="AH15" s="76"/>
      <c r="AI15" s="76"/>
    </row>
    <row r="16" spans="1:3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76"/>
      <c r="AA16" s="76"/>
      <c r="AB16" s="76"/>
      <c r="AC16" s="76"/>
      <c r="AD16" s="76"/>
      <c r="AE16" s="76"/>
      <c r="AF16" s="76"/>
      <c r="AG16" s="76"/>
      <c r="AH16" s="76"/>
      <c r="AI16" s="76"/>
    </row>
    <row r="17" spans="1: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</row>
    <row r="18" spans="1: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</row>
    <row r="19" spans="1: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</row>
    <row r="20" spans="1: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</row>
    <row r="21" spans="1: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</row>
    <row r="22" spans="1: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</row>
    <row r="23" spans="1: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</row>
    <row r="24" spans="1: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</row>
    <row r="25" spans="1: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</row>
    <row r="26" spans="1: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</row>
    <row r="27" spans="1: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</row>
    <row r="28" spans="1: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</row>
    <row r="29" spans="1: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</row>
    <row r="30" spans="1: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</row>
    <row r="31" spans="1: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</row>
    <row r="32" spans="1: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</row>
    <row r="33" spans="1: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</row>
    <row r="34" spans="1: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</row>
    <row r="35" spans="1: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</row>
    <row r="36" spans="1: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</row>
    <row r="37" spans="1: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</row>
    <row r="38" spans="1: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</row>
    <row r="39" spans="1: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</row>
    <row r="40" spans="1: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</row>
    <row r="41" spans="1: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</row>
    <row r="42" spans="1: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</row>
    <row r="43" spans="1: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</row>
    <row r="44" spans="1: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</row>
    <row r="45" spans="1: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</row>
    <row r="46" spans="1: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</row>
    <row r="47" spans="1: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</row>
    <row r="48" spans="1: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</row>
    <row r="49" spans="1: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</row>
    <row r="50" spans="1: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</row>
    <row r="51" spans="1: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</row>
    <row r="52" spans="1: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</row>
    <row r="53" spans="1: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</row>
    <row r="54" spans="1: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</row>
    <row r="55" spans="1: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</row>
    <row r="56" spans="1: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</row>
    <row r="57" spans="1: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</row>
    <row r="58" spans="1: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</row>
    <row r="59" spans="1: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</row>
    <row r="60" spans="1: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</row>
    <row r="61" spans="1: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</row>
    <row r="62" spans="1: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</row>
    <row r="63" spans="1: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</row>
    <row r="64" spans="1: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</row>
    <row r="65" spans="1: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</row>
    <row r="66" spans="1: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</row>
    <row r="67" spans="1: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</row>
    <row r="68" spans="1: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</row>
    <row r="69" spans="1: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</row>
    <row r="70" spans="1: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</row>
    <row r="71" spans="1: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</row>
    <row r="72" spans="1: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</row>
    <row r="73" spans="1: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</row>
    <row r="74" spans="1: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</row>
    <row r="75" spans="1: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</row>
    <row r="76" spans="1: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</row>
    <row r="77" spans="1: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</row>
    <row r="78" spans="1: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</row>
    <row r="79" spans="1: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</row>
    <row r="80" spans="1: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</row>
    <row r="81" spans="1: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</row>
    <row r="82" spans="1: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</row>
    <row r="83" spans="1: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</row>
    <row r="84" spans="1: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</row>
    <row r="85" spans="1: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</row>
    <row r="86" spans="1: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</row>
    <row r="87" spans="1: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</row>
    <row r="88" spans="1: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</row>
    <row r="89" spans="1: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</row>
    <row r="90" spans="1: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</row>
    <row r="91" spans="1: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</row>
    <row r="92" spans="1: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</row>
    <row r="93" spans="1: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</row>
    <row r="94" spans="1: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</row>
    <row r="95" spans="1: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</row>
    <row r="96" spans="1: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</row>
    <row r="97" spans="1: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</row>
    <row r="98" spans="1: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</row>
    <row r="99" spans="1: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</row>
    <row r="100" spans="1: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</row>
    <row r="101" spans="1: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</row>
    <row r="102" spans="1: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</row>
    <row r="103" spans="1: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</row>
    <row r="104" spans="1: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</row>
    <row r="105" spans="1: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</row>
    <row r="106" spans="1: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</row>
    <row r="107" spans="1: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</row>
    <row r="108" spans="1: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</row>
    <row r="109" spans="1: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</row>
    <row r="110" spans="1: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</row>
    <row r="111" spans="1: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</row>
    <row r="112" spans="1: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</row>
    <row r="113" spans="1:25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</row>
    <row r="114" spans="1:25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</row>
    <row r="115" spans="1:25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</row>
    <row r="116" spans="1:25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</row>
    <row r="117" spans="1:25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</row>
    <row r="118" spans="1:25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</row>
    <row r="119" spans="1:25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</row>
    <row r="120" spans="1:25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</row>
    <row r="121" spans="1:25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</row>
    <row r="122" spans="1:25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</row>
    <row r="123" spans="1:25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</row>
    <row r="124" spans="1:25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</row>
    <row r="125" spans="1:25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</row>
    <row r="126" spans="1:25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</row>
    <row r="127" spans="1:25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</row>
    <row r="128" spans="1:25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</row>
    <row r="129" spans="1:25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</row>
    <row r="130" spans="1:25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</row>
    <row r="131" spans="1:25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</row>
    <row r="132" spans="1:25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</row>
    <row r="133" spans="1:25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</row>
    <row r="134" spans="1:25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</row>
    <row r="135" spans="1:25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</row>
    <row r="136" spans="1:25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</row>
    <row r="137" spans="1:25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</row>
    <row r="138" spans="1:25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</row>
    <row r="139" spans="1:25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</row>
    <row r="140" spans="1:25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</row>
    <row r="141" spans="1:25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</row>
    <row r="142" spans="1:25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</row>
    <row r="143" spans="1:25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</row>
    <row r="144" spans="1:25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</row>
    <row r="145" spans="1:25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</row>
    <row r="146" spans="1:25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</row>
    <row r="147" spans="1:25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</row>
    <row r="148" spans="1:25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</row>
    <row r="149" spans="1:25">
      <c r="A149" s="76"/>
      <c r="B149" s="2"/>
      <c r="C149" s="2"/>
      <c r="D149" s="2"/>
      <c r="E149" s="2"/>
      <c r="F149" s="2"/>
      <c r="G149" s="2"/>
      <c r="H149" s="2"/>
      <c r="I149" s="76"/>
      <c r="J149" s="76"/>
      <c r="K149" s="76"/>
      <c r="L149" s="76"/>
      <c r="M149" s="76"/>
      <c r="N149" s="76"/>
      <c r="O149" s="76"/>
      <c r="P149" s="76"/>
      <c r="Q149" s="76"/>
      <c r="R149" s="76"/>
      <c r="S149" s="76"/>
      <c r="T149" s="76"/>
      <c r="U149" s="76"/>
      <c r="V149" s="76"/>
      <c r="W149" s="76"/>
      <c r="X149" s="76"/>
      <c r="Y149" s="76"/>
    </row>
    <row r="150" spans="1:25">
      <c r="A150" s="76"/>
      <c r="B150" s="2"/>
      <c r="C150" s="2"/>
      <c r="D150" s="2"/>
      <c r="E150" s="2"/>
      <c r="F150" s="2"/>
      <c r="G150" s="2"/>
      <c r="H150" s="2"/>
      <c r="I150" s="76"/>
      <c r="J150" s="76"/>
      <c r="K150" s="76"/>
      <c r="L150" s="76"/>
      <c r="M150" s="76"/>
      <c r="N150" s="76"/>
      <c r="O150" s="76"/>
      <c r="P150" s="76"/>
      <c r="Q150" s="76"/>
      <c r="R150" s="76"/>
      <c r="S150" s="76"/>
      <c r="T150" s="76"/>
      <c r="U150" s="76"/>
      <c r="V150" s="76"/>
      <c r="W150" s="76"/>
      <c r="X150" s="76"/>
      <c r="Y150" s="76"/>
    </row>
    <row r="151" spans="1:25">
      <c r="A151" s="76"/>
      <c r="B151" s="2"/>
      <c r="C151" s="2"/>
      <c r="D151" s="2"/>
      <c r="E151" s="2"/>
      <c r="F151" s="2"/>
      <c r="G151" s="2"/>
      <c r="H151" s="2"/>
      <c r="I151" s="76"/>
      <c r="J151" s="76"/>
      <c r="K151" s="76"/>
      <c r="L151" s="76"/>
      <c r="M151" s="76"/>
      <c r="N151" s="76"/>
      <c r="O151" s="76"/>
      <c r="P151" s="76"/>
      <c r="Q151" s="76"/>
      <c r="R151" s="76"/>
      <c r="S151" s="76"/>
      <c r="T151" s="76"/>
      <c r="U151" s="76"/>
      <c r="V151" s="76"/>
      <c r="W151" s="76"/>
      <c r="X151" s="76"/>
      <c r="Y151" s="76"/>
    </row>
    <row r="152" spans="1:25">
      <c r="A152" s="76"/>
      <c r="B152" s="2"/>
      <c r="C152" s="2"/>
      <c r="D152" s="2"/>
      <c r="E152" s="2"/>
      <c r="F152" s="2"/>
      <c r="G152" s="2"/>
      <c r="H152" s="2"/>
      <c r="I152" s="76"/>
      <c r="J152" s="76"/>
      <c r="K152" s="76"/>
      <c r="L152" s="76"/>
      <c r="M152" s="76"/>
      <c r="N152" s="76"/>
      <c r="O152" s="76"/>
      <c r="P152" s="76"/>
      <c r="Q152" s="76"/>
      <c r="R152" s="76"/>
      <c r="S152" s="76"/>
      <c r="T152" s="76"/>
      <c r="U152" s="76"/>
      <c r="V152" s="76"/>
      <c r="W152" s="76"/>
      <c r="X152" s="76"/>
      <c r="Y152" s="76"/>
    </row>
    <row r="153" spans="1:25">
      <c r="A153" s="76"/>
      <c r="B153" s="2"/>
      <c r="C153" s="2"/>
      <c r="D153" s="2"/>
      <c r="E153" s="2"/>
      <c r="F153" s="2"/>
      <c r="G153" s="2"/>
      <c r="H153" s="2"/>
      <c r="I153" s="76"/>
      <c r="J153" s="76"/>
      <c r="K153" s="76"/>
      <c r="L153" s="76"/>
      <c r="M153" s="76"/>
      <c r="N153" s="76"/>
      <c r="O153" s="76"/>
      <c r="P153" s="76"/>
      <c r="Q153" s="76"/>
      <c r="R153" s="76"/>
      <c r="S153" s="76"/>
      <c r="T153" s="76"/>
      <c r="U153" s="76"/>
      <c r="V153" s="76"/>
      <c r="W153" s="76"/>
      <c r="X153" s="76"/>
      <c r="Y153" s="76"/>
    </row>
    <row r="154" spans="1:25">
      <c r="A154" s="76"/>
      <c r="B154" s="76"/>
      <c r="C154" s="76"/>
      <c r="D154" s="76"/>
      <c r="E154" s="2"/>
      <c r="F154" s="2"/>
      <c r="G154" s="2"/>
      <c r="H154" s="2"/>
      <c r="I154" s="76"/>
      <c r="J154" s="76"/>
      <c r="K154" s="76"/>
      <c r="L154" s="76"/>
      <c r="M154" s="76"/>
      <c r="N154" s="76"/>
      <c r="O154" s="76"/>
      <c r="P154" s="76"/>
      <c r="Q154" s="76"/>
      <c r="R154" s="76"/>
      <c r="S154" s="76"/>
      <c r="T154" s="76"/>
      <c r="U154" s="76"/>
      <c r="V154" s="76"/>
      <c r="W154" s="76"/>
      <c r="X154" s="76"/>
      <c r="Y154" s="7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3C5AB4-ACC9-4046-93BC-F7DFC13DC680}">
  <dimension ref="A1:AH200"/>
  <sheetViews>
    <sheetView topLeftCell="A4" workbookViewId="0">
      <selection activeCell="G15" sqref="G15"/>
    </sheetView>
  </sheetViews>
  <sheetFormatPr defaultColWidth="11.5546875" defaultRowHeight="15"/>
  <cols>
    <col min="3" max="3" width="12.33203125" customWidth="1"/>
    <col min="4" max="4" width="14.109375" customWidth="1"/>
    <col min="5" max="5" width="15.109375" customWidth="1"/>
    <col min="6" max="6" width="15.5546875" customWidth="1"/>
    <col min="7" max="7" width="14.6640625" customWidth="1"/>
    <col min="8" max="8" width="12.88671875" customWidth="1"/>
  </cols>
  <sheetData>
    <row r="1" spans="1:34" ht="20.25" customHeight="1">
      <c r="A1" s="2"/>
      <c r="B1" s="216" t="s">
        <v>11</v>
      </c>
      <c r="C1" s="216"/>
      <c r="D1" s="216"/>
      <c r="E1" s="216"/>
      <c r="F1" s="216"/>
      <c r="G1" s="216"/>
      <c r="H1" s="216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</row>
    <row r="2" spans="1:34" ht="47.25">
      <c r="A2" s="2"/>
      <c r="B2" s="55" t="s">
        <v>12</v>
      </c>
      <c r="C2" s="55" t="s">
        <v>13</v>
      </c>
      <c r="D2" s="55" t="s">
        <v>14</v>
      </c>
      <c r="E2" s="55" t="s">
        <v>15</v>
      </c>
      <c r="F2" s="55" t="s">
        <v>16</v>
      </c>
      <c r="G2" s="55" t="s">
        <v>17</v>
      </c>
      <c r="H2" s="55" t="s">
        <v>18</v>
      </c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</row>
    <row r="3" spans="1:34">
      <c r="A3" s="2"/>
      <c r="B3" s="217" t="s">
        <v>19</v>
      </c>
      <c r="C3" s="210" t="s">
        <v>20</v>
      </c>
      <c r="D3" s="53">
        <v>1</v>
      </c>
      <c r="E3" s="56">
        <v>10000</v>
      </c>
      <c r="F3" s="57">
        <v>3500</v>
      </c>
      <c r="G3" s="57">
        <v>13500</v>
      </c>
      <c r="H3" s="57">
        <v>162000</v>
      </c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</row>
    <row r="4" spans="1:34">
      <c r="A4" s="2"/>
      <c r="B4" s="217"/>
      <c r="C4" s="210" t="s">
        <v>21</v>
      </c>
      <c r="D4" s="53">
        <v>1</v>
      </c>
      <c r="E4" s="56">
        <v>6000</v>
      </c>
      <c r="F4" s="57">
        <v>2100</v>
      </c>
      <c r="G4" s="57">
        <f>(F4+E4)*D4</f>
        <v>8100</v>
      </c>
      <c r="H4" s="57">
        <v>97200</v>
      </c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</row>
    <row r="5" spans="1:34">
      <c r="A5" s="2"/>
      <c r="B5" s="217"/>
      <c r="C5" s="210" t="s">
        <v>22</v>
      </c>
      <c r="D5" s="53">
        <v>1</v>
      </c>
      <c r="E5" s="56">
        <v>6000</v>
      </c>
      <c r="F5" s="57">
        <v>2100</v>
      </c>
      <c r="G5" s="57">
        <f>(F5+E5)*D5</f>
        <v>8100</v>
      </c>
      <c r="H5" s="57">
        <v>97200</v>
      </c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76"/>
      <c r="AH5" s="76"/>
    </row>
    <row r="6" spans="1:34">
      <c r="A6" s="2"/>
      <c r="B6" s="215" t="s">
        <v>23</v>
      </c>
      <c r="C6" s="58" t="s">
        <v>24</v>
      </c>
      <c r="D6" s="2">
        <v>3</v>
      </c>
      <c r="E6" s="59">
        <v>6000</v>
      </c>
      <c r="F6" s="60">
        <v>2100</v>
      </c>
      <c r="G6" s="60">
        <f>(F6+E6)*D6</f>
        <v>24300</v>
      </c>
      <c r="H6" s="60">
        <v>291600</v>
      </c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76"/>
      <c r="AH6" s="76"/>
    </row>
    <row r="7" spans="1:34">
      <c r="A7" s="2"/>
      <c r="B7" s="215"/>
      <c r="C7" s="58" t="s">
        <v>25</v>
      </c>
      <c r="D7" s="2">
        <v>1</v>
      </c>
      <c r="E7" s="59">
        <v>1000</v>
      </c>
      <c r="F7" s="60">
        <v>350</v>
      </c>
      <c r="G7" s="60">
        <v>1350</v>
      </c>
      <c r="H7" s="60">
        <v>16200</v>
      </c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76"/>
      <c r="AH7" s="76"/>
    </row>
    <row r="8" spans="1:34">
      <c r="A8" s="2"/>
      <c r="B8" s="210" t="s">
        <v>26</v>
      </c>
      <c r="C8" s="210" t="s">
        <v>27</v>
      </c>
      <c r="D8" s="53">
        <v>1</v>
      </c>
      <c r="E8" s="56">
        <v>2000</v>
      </c>
      <c r="F8" s="57">
        <v>700</v>
      </c>
      <c r="G8" s="57">
        <f>(F8+E8)*D8</f>
        <v>2700</v>
      </c>
      <c r="H8" s="57">
        <v>32400</v>
      </c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76"/>
      <c r="AH8" s="76"/>
    </row>
    <row r="9" spans="1:34" ht="30">
      <c r="A9" s="2"/>
      <c r="B9" s="208" t="s">
        <v>28</v>
      </c>
      <c r="C9" s="58" t="s">
        <v>27</v>
      </c>
      <c r="D9" s="2">
        <v>1</v>
      </c>
      <c r="E9" s="59">
        <v>2000</v>
      </c>
      <c r="F9" s="60">
        <v>700</v>
      </c>
      <c r="G9" s="60">
        <f>(F9+E9)*D9</f>
        <v>2700</v>
      </c>
      <c r="H9" s="60">
        <v>32400</v>
      </c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76"/>
      <c r="AH9" s="76"/>
    </row>
    <row r="10" spans="1:34">
      <c r="A10" s="2"/>
      <c r="B10" s="217" t="s">
        <v>29</v>
      </c>
      <c r="C10" s="210" t="s">
        <v>30</v>
      </c>
      <c r="D10" s="53">
        <v>1</v>
      </c>
      <c r="E10" s="56">
        <v>5000</v>
      </c>
      <c r="F10" s="57">
        <v>1750</v>
      </c>
      <c r="G10" s="57">
        <f>(F10+E10)*D10</f>
        <v>6750</v>
      </c>
      <c r="H10" s="57">
        <v>81000</v>
      </c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76"/>
      <c r="AH10" s="76"/>
    </row>
    <row r="11" spans="1:34">
      <c r="A11" s="2"/>
      <c r="B11" s="217"/>
      <c r="C11" s="210" t="s">
        <v>31</v>
      </c>
      <c r="D11" s="53">
        <v>1</v>
      </c>
      <c r="E11" s="56">
        <v>1000</v>
      </c>
      <c r="F11" s="57">
        <v>350</v>
      </c>
      <c r="G11" s="57">
        <v>1350</v>
      </c>
      <c r="H11" s="57">
        <v>16200</v>
      </c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76"/>
      <c r="AH11" s="76"/>
    </row>
    <row r="12" spans="1:34" ht="45">
      <c r="A12" s="2"/>
      <c r="B12" s="215" t="s">
        <v>32</v>
      </c>
      <c r="C12" s="58" t="s">
        <v>33</v>
      </c>
      <c r="D12" s="2">
        <v>1</v>
      </c>
      <c r="E12" s="59">
        <v>1000</v>
      </c>
      <c r="F12" s="60">
        <v>350</v>
      </c>
      <c r="G12" s="60">
        <v>1350</v>
      </c>
      <c r="H12" s="60">
        <v>16200</v>
      </c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76"/>
      <c r="AH12" s="76"/>
    </row>
    <row r="13" spans="1:34" ht="30">
      <c r="A13" s="2"/>
      <c r="B13" s="215"/>
      <c r="C13" s="58" t="s">
        <v>34</v>
      </c>
      <c r="D13" s="2">
        <v>1</v>
      </c>
      <c r="E13" s="59">
        <v>3000</v>
      </c>
      <c r="F13" s="60">
        <v>1050</v>
      </c>
      <c r="G13" s="60">
        <f t="shared" ref="G13:G18" si="0">(F13+E13)*D13</f>
        <v>4050</v>
      </c>
      <c r="H13" s="60">
        <v>48600</v>
      </c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76"/>
      <c r="AH13" s="76"/>
    </row>
    <row r="14" spans="1:34">
      <c r="A14" s="2"/>
      <c r="B14" s="210" t="s">
        <v>35</v>
      </c>
      <c r="C14" s="210" t="s">
        <v>36</v>
      </c>
      <c r="D14" s="53">
        <v>1</v>
      </c>
      <c r="E14" s="56">
        <v>1000</v>
      </c>
      <c r="F14" s="57">
        <v>350</v>
      </c>
      <c r="G14" s="57">
        <f t="shared" si="0"/>
        <v>1350</v>
      </c>
      <c r="H14" s="57">
        <v>16200</v>
      </c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76"/>
      <c r="AH14" s="76"/>
    </row>
    <row r="15" spans="1:34" ht="30">
      <c r="A15" s="2"/>
      <c r="B15" s="208" t="s">
        <v>37</v>
      </c>
      <c r="C15" s="58" t="s">
        <v>38</v>
      </c>
      <c r="D15" s="2">
        <v>1</v>
      </c>
      <c r="E15" s="59">
        <v>1000</v>
      </c>
      <c r="F15" s="60">
        <v>350</v>
      </c>
      <c r="G15" s="60">
        <f t="shared" si="0"/>
        <v>1350</v>
      </c>
      <c r="H15" s="60">
        <v>16200</v>
      </c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76"/>
      <c r="AH15" s="76"/>
    </row>
    <row r="16" spans="1:34" ht="30">
      <c r="A16" s="2"/>
      <c r="B16" s="210" t="s">
        <v>39</v>
      </c>
      <c r="C16" s="210" t="s">
        <v>40</v>
      </c>
      <c r="D16" s="53">
        <v>1</v>
      </c>
      <c r="E16" s="56">
        <v>6000</v>
      </c>
      <c r="F16" s="57">
        <v>2100</v>
      </c>
      <c r="G16" s="57">
        <f t="shared" si="0"/>
        <v>8100</v>
      </c>
      <c r="H16" s="57">
        <v>97200</v>
      </c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76"/>
      <c r="AH16" s="76"/>
    </row>
    <row r="17" spans="1:32">
      <c r="A17" s="2"/>
      <c r="B17" s="215" t="s">
        <v>41</v>
      </c>
      <c r="C17" s="58" t="s">
        <v>42</v>
      </c>
      <c r="D17" s="2">
        <v>1</v>
      </c>
      <c r="E17" s="59">
        <v>6000</v>
      </c>
      <c r="F17" s="60">
        <v>2100</v>
      </c>
      <c r="G17" s="60">
        <f t="shared" si="0"/>
        <v>8100</v>
      </c>
      <c r="H17" s="60">
        <v>97200</v>
      </c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</row>
    <row r="18" spans="1:32">
      <c r="A18" s="2"/>
      <c r="B18" s="215"/>
      <c r="C18" s="58" t="s">
        <v>43</v>
      </c>
      <c r="D18" s="2">
        <v>1</v>
      </c>
      <c r="E18" s="59">
        <v>6000</v>
      </c>
      <c r="F18" s="60">
        <v>2100</v>
      </c>
      <c r="G18" s="60">
        <f t="shared" si="0"/>
        <v>8100</v>
      </c>
      <c r="H18" s="60">
        <v>97200</v>
      </c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</row>
    <row r="19" spans="1:32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</row>
    <row r="20" spans="1:32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</row>
    <row r="21" spans="1:3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</row>
    <row r="22" spans="1:3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</row>
    <row r="23" spans="1:3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</row>
    <row r="24" spans="1:3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</row>
    <row r="25" spans="1:3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</row>
    <row r="26" spans="1:3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</row>
    <row r="27" spans="1:3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</row>
    <row r="28" spans="1:3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</row>
    <row r="29" spans="1:3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</row>
    <row r="30" spans="1:3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</row>
    <row r="31" spans="1:3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</row>
    <row r="32" spans="1:3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</row>
    <row r="33" spans="1:3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</row>
    <row r="34" spans="1:3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</row>
    <row r="35" spans="1:3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</row>
    <row r="36" spans="1:3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</row>
    <row r="37" spans="1:3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</row>
    <row r="38" spans="1:3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</row>
    <row r="39" spans="1:3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</row>
    <row r="40" spans="1:3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</row>
    <row r="41" spans="1:3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</row>
    <row r="42" spans="1:3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</row>
    <row r="43" spans="1:3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</row>
    <row r="44" spans="1:3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</row>
    <row r="45" spans="1:3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</row>
    <row r="46" spans="1:3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</row>
    <row r="47" spans="1:3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</row>
    <row r="48" spans="1:3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</row>
    <row r="49" spans="1:3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</row>
    <row r="50" spans="1:3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</row>
    <row r="51" spans="1:3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</row>
    <row r="52" spans="1:3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</row>
    <row r="53" spans="1:3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</row>
    <row r="54" spans="1:3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</row>
    <row r="55" spans="1:3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</row>
    <row r="56" spans="1:3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</row>
    <row r="57" spans="1:3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</row>
    <row r="58" spans="1:3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</row>
    <row r="59" spans="1:3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</row>
    <row r="60" spans="1:3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</row>
    <row r="61" spans="1:3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</row>
    <row r="62" spans="1:3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</row>
    <row r="63" spans="1:3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</row>
    <row r="64" spans="1:3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</row>
    <row r="65" spans="1:3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</row>
    <row r="66" spans="1:3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</row>
    <row r="67" spans="1:3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</row>
    <row r="68" spans="1:3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</row>
    <row r="69" spans="1:3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</row>
    <row r="70" spans="1:3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</row>
    <row r="71" spans="1:3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</row>
    <row r="72" spans="1:3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</row>
    <row r="73" spans="1:3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</row>
    <row r="74" spans="1:3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</row>
    <row r="75" spans="1:3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</row>
    <row r="76" spans="1:3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</row>
    <row r="77" spans="1:3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</row>
    <row r="78" spans="1:3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</row>
    <row r="79" spans="1:3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</row>
    <row r="80" spans="1:3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</row>
    <row r="81" spans="1:3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</row>
    <row r="82" spans="1:3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</row>
    <row r="83" spans="1:3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</row>
    <row r="84" spans="1:3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</row>
    <row r="85" spans="1:3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</row>
    <row r="86" spans="1:3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</row>
    <row r="87" spans="1:3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</row>
    <row r="88" spans="1:3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</row>
    <row r="89" spans="1:3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</row>
    <row r="90" spans="1:3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</row>
    <row r="91" spans="1:3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</row>
    <row r="92" spans="1:3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</row>
    <row r="93" spans="1:3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</row>
    <row r="94" spans="1:3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</row>
    <row r="95" spans="1:3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</row>
    <row r="96" spans="1:3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</row>
    <row r="97" spans="1:3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</row>
    <row r="98" spans="1:3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</row>
    <row r="99" spans="1:3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</row>
    <row r="100" spans="1:3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</row>
    <row r="101" spans="1:3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</row>
    <row r="102" spans="1:3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</row>
    <row r="103" spans="1:3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</row>
    <row r="104" spans="1:3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</row>
    <row r="105" spans="1:3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</row>
    <row r="106" spans="1:3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</row>
    <row r="107" spans="1:3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</row>
    <row r="108" spans="1:3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</row>
    <row r="109" spans="1:3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</row>
    <row r="110" spans="1:3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</row>
    <row r="111" spans="1:3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</row>
    <row r="112" spans="1:3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</row>
    <row r="113" spans="1:3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</row>
    <row r="114" spans="1:3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</row>
    <row r="115" spans="1:3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</row>
    <row r="116" spans="1:3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</row>
    <row r="117" spans="1:3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</row>
    <row r="118" spans="1:3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</row>
    <row r="119" spans="1:3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</row>
    <row r="120" spans="1:3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</row>
    <row r="121" spans="1:3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</row>
    <row r="122" spans="1:3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</row>
    <row r="123" spans="1:3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</row>
    <row r="124" spans="1:3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</row>
    <row r="125" spans="1:3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</row>
    <row r="126" spans="1:3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</row>
    <row r="127" spans="1:3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</row>
    <row r="128" spans="1:3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</row>
    <row r="129" spans="1:3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</row>
    <row r="130" spans="1:3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</row>
    <row r="131" spans="1:3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</row>
    <row r="132" spans="1:3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</row>
    <row r="133" spans="1:3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</row>
    <row r="134" spans="1:3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</row>
    <row r="135" spans="1:3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</row>
    <row r="136" spans="1:3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</row>
    <row r="137" spans="1:3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</row>
    <row r="138" spans="1:3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</row>
    <row r="139" spans="1:3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</row>
    <row r="140" spans="1:3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</row>
    <row r="141" spans="1:3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</row>
    <row r="142" spans="1:3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</row>
    <row r="143" spans="1:3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</row>
    <row r="144" spans="1:3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</row>
    <row r="145" spans="1:3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</row>
    <row r="146" spans="1:3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</row>
    <row r="147" spans="1:3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</row>
    <row r="148" spans="1:3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</row>
    <row r="149" spans="1:3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</row>
    <row r="150" spans="1:3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</row>
    <row r="151" spans="1:3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</row>
    <row r="152" spans="1:3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</row>
    <row r="153" spans="1:3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</row>
    <row r="154" spans="1:3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</row>
    <row r="155" spans="1:3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</row>
    <row r="156" spans="1:3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</row>
    <row r="157" spans="1:3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</row>
    <row r="158" spans="1:3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</row>
    <row r="159" spans="1:3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</row>
    <row r="160" spans="1:3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</row>
    <row r="161" spans="1:3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</row>
    <row r="162" spans="1:3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</row>
    <row r="163" spans="1:3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</row>
    <row r="164" spans="1:3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</row>
    <row r="165" spans="1:3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</row>
    <row r="166" spans="1:3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</row>
    <row r="167" spans="1:3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</row>
    <row r="168" spans="1:3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</row>
    <row r="169" spans="1:3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</row>
    <row r="170" spans="1:3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</row>
    <row r="171" spans="1:3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</row>
    <row r="172" spans="1:3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</row>
    <row r="173" spans="1:3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</row>
    <row r="174" spans="1:3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</row>
    <row r="175" spans="1:3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</row>
    <row r="176" spans="1:3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</row>
    <row r="177" spans="1:3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</row>
    <row r="178" spans="1:3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</row>
    <row r="179" spans="1:3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</row>
    <row r="180" spans="1:3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</row>
    <row r="181" spans="1:3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</row>
    <row r="182" spans="1:3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</row>
    <row r="183" spans="1:3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</row>
    <row r="184" spans="1:3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</row>
    <row r="185" spans="1:3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</row>
    <row r="186" spans="1:3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</row>
    <row r="187" spans="1:3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</row>
    <row r="188" spans="1:3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</row>
    <row r="189" spans="1:3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</row>
    <row r="190" spans="1:3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</row>
    <row r="191" spans="1:3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</row>
    <row r="192" spans="1:3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</row>
    <row r="193" spans="1:3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</row>
    <row r="194" spans="1:3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</row>
    <row r="195" spans="1:3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</row>
    <row r="196" spans="1:3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</row>
    <row r="197" spans="1:3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</row>
    <row r="198" spans="1:3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</row>
    <row r="199" spans="1:3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</row>
    <row r="200" spans="1:3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</row>
  </sheetData>
  <mergeCells count="6">
    <mergeCell ref="B17:B18"/>
    <mergeCell ref="B1:H1"/>
    <mergeCell ref="B3:B5"/>
    <mergeCell ref="B6:B7"/>
    <mergeCell ref="B10:B11"/>
    <mergeCell ref="B12:B1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8D750-C823-4700-AB45-5ECEFBCC8615}">
  <dimension ref="A1:V111"/>
  <sheetViews>
    <sheetView topLeftCell="A46" workbookViewId="0">
      <selection activeCell="C60" sqref="C60"/>
    </sheetView>
  </sheetViews>
  <sheetFormatPr defaultColWidth="11.5546875" defaultRowHeight="15"/>
  <cols>
    <col min="2" max="2" width="45.77734375" customWidth="1"/>
    <col min="3" max="4" width="9.33203125" customWidth="1"/>
    <col min="5" max="5" width="10.6640625" customWidth="1"/>
    <col min="6" max="6" width="15" customWidth="1"/>
    <col min="7" max="7" width="15.109375" customWidth="1"/>
    <col min="8" max="8" width="14.5546875" customWidth="1"/>
  </cols>
  <sheetData>
    <row r="1" spans="1:22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5.75">
      <c r="A2" s="2"/>
      <c r="B2" s="223" t="s">
        <v>44</v>
      </c>
      <c r="C2" s="223"/>
      <c r="D2" s="223"/>
      <c r="E2" s="223"/>
      <c r="F2" s="223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</row>
    <row r="3" spans="1:22" ht="15" customHeight="1">
      <c r="A3" s="2"/>
      <c r="B3" s="3"/>
      <c r="C3" s="3"/>
      <c r="D3" s="3"/>
      <c r="E3" s="4"/>
      <c r="F3" s="3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</row>
    <row r="4" spans="1:22" ht="15" customHeight="1">
      <c r="A4" s="2"/>
      <c r="B4" s="3"/>
      <c r="C4" s="3"/>
      <c r="D4" s="3"/>
      <c r="E4" s="4"/>
      <c r="F4" s="3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</row>
    <row r="5" spans="1:22" ht="15" customHeight="1">
      <c r="A5" s="2"/>
      <c r="B5" s="5" t="s">
        <v>45</v>
      </c>
      <c r="C5" s="6"/>
      <c r="D5" s="6"/>
      <c r="E5" s="7"/>
      <c r="F5" s="6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</row>
    <row r="6" spans="1:22" ht="18.75">
      <c r="A6" s="2"/>
      <c r="B6" s="6"/>
      <c r="C6" s="6"/>
      <c r="D6" s="224"/>
      <c r="E6" s="225"/>
      <c r="F6" s="8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</row>
    <row r="7" spans="1:22" ht="15" customHeight="1">
      <c r="A7" s="2"/>
      <c r="B7" s="221" t="s">
        <v>46</v>
      </c>
      <c r="C7" s="222"/>
      <c r="D7" s="222"/>
      <c r="E7" s="222"/>
      <c r="F7" s="211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</row>
    <row r="8" spans="1:22">
      <c r="A8" s="2"/>
      <c r="B8" s="221"/>
      <c r="C8" s="222"/>
      <c r="D8" s="222"/>
      <c r="E8" s="222"/>
      <c r="F8" s="9" t="s">
        <v>47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</row>
    <row r="9" spans="1:22">
      <c r="A9" s="2"/>
      <c r="B9" s="218" t="s">
        <v>48</v>
      </c>
      <c r="C9" s="219"/>
      <c r="D9" s="219"/>
      <c r="E9" s="220"/>
      <c r="F9" s="10">
        <f>40*199+2000</f>
        <v>9960</v>
      </c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</row>
    <row r="10" spans="1:22">
      <c r="A10" s="2"/>
      <c r="B10" s="218" t="s">
        <v>49</v>
      </c>
      <c r="C10" s="219"/>
      <c r="D10" s="219"/>
      <c r="E10" s="220"/>
      <c r="F10" s="10">
        <v>1200</v>
      </c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</row>
    <row r="11" spans="1:22">
      <c r="A11" s="2"/>
      <c r="B11" s="218" t="s">
        <v>50</v>
      </c>
      <c r="C11" s="219"/>
      <c r="D11" s="219"/>
      <c r="E11" s="220"/>
      <c r="F11" s="10">
        <f>5*406+1500</f>
        <v>3530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</row>
    <row r="12" spans="1:22">
      <c r="A12" s="2"/>
      <c r="B12" s="218" t="s">
        <v>51</v>
      </c>
      <c r="C12" s="219"/>
      <c r="D12" s="219"/>
      <c r="E12" s="220"/>
      <c r="F12" s="10">
        <f>719*11</f>
        <v>7909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</row>
    <row r="13" spans="1:22">
      <c r="A13" s="2"/>
      <c r="B13" s="218" t="s">
        <v>52</v>
      </c>
      <c r="C13" s="219"/>
      <c r="D13" s="219"/>
      <c r="E13" s="220"/>
      <c r="F13" s="10">
        <v>5000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</row>
    <row r="14" spans="1:22" ht="15" customHeight="1">
      <c r="A14" s="2"/>
      <c r="B14" s="218" t="s">
        <v>53</v>
      </c>
      <c r="C14" s="219"/>
      <c r="D14" s="219"/>
      <c r="E14" s="220"/>
      <c r="F14" s="10">
        <v>6000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</row>
    <row r="15" spans="1:22">
      <c r="A15" s="2"/>
      <c r="B15" s="218" t="s">
        <v>54</v>
      </c>
      <c r="C15" s="219"/>
      <c r="D15" s="219"/>
      <c r="E15" s="220"/>
      <c r="F15" s="10">
        <v>12000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</row>
    <row r="16" spans="1:22">
      <c r="A16" s="2"/>
      <c r="B16" s="218" t="s">
        <v>55</v>
      </c>
      <c r="C16" s="219"/>
      <c r="D16" s="219"/>
      <c r="E16" s="220"/>
      <c r="F16" s="10">
        <v>300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</row>
    <row r="17" spans="1:22">
      <c r="A17" s="2"/>
      <c r="B17" s="11" t="s">
        <v>9</v>
      </c>
      <c r="C17" s="12"/>
      <c r="D17" s="12"/>
      <c r="E17" s="13"/>
      <c r="F17" s="14">
        <f>SUM(F9:F16)</f>
        <v>45899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</row>
    <row r="18" spans="1:22">
      <c r="A18" s="2"/>
      <c r="B18" s="2"/>
      <c r="C18" s="15" t="s">
        <v>56</v>
      </c>
      <c r="D18" s="16">
        <v>40</v>
      </c>
      <c r="E18" s="17" t="s">
        <v>57</v>
      </c>
      <c r="F18" s="18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</row>
    <row r="19" spans="1:22">
      <c r="A19" s="2"/>
      <c r="B19" s="6"/>
      <c r="C19" s="6"/>
      <c r="D19" s="6"/>
      <c r="E19" s="7"/>
      <c r="F19" s="6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</row>
    <row r="20" spans="1:22">
      <c r="A20" s="2"/>
      <c r="B20" s="5" t="s">
        <v>58</v>
      </c>
      <c r="C20" s="6"/>
      <c r="D20" s="6"/>
      <c r="E20" s="7"/>
      <c r="F20" s="6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</row>
    <row r="21" spans="1:22">
      <c r="A21" s="2"/>
      <c r="B21" s="6"/>
      <c r="C21" s="6"/>
      <c r="D21" s="6"/>
      <c r="E21" s="7"/>
      <c r="F21" s="6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</row>
    <row r="22" spans="1:22" ht="15" customHeight="1">
      <c r="A22" s="2"/>
      <c r="B22" s="221" t="s">
        <v>59</v>
      </c>
      <c r="C22" s="226"/>
      <c r="D22" s="226"/>
      <c r="E22" s="227"/>
      <c r="F22" s="6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</row>
    <row r="23" spans="1:22">
      <c r="A23" s="2"/>
      <c r="B23" s="19" t="s">
        <v>60</v>
      </c>
      <c r="C23" s="19" t="s">
        <v>61</v>
      </c>
      <c r="D23" s="20" t="s">
        <v>62</v>
      </c>
      <c r="E23" s="21" t="s">
        <v>47</v>
      </c>
      <c r="F23" s="6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</row>
    <row r="24" spans="1:22" ht="18">
      <c r="A24" s="2"/>
      <c r="B24" s="22" t="s">
        <v>63</v>
      </c>
      <c r="C24" s="23"/>
      <c r="D24" s="24"/>
      <c r="E24" s="25"/>
      <c r="F24" s="6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</row>
    <row r="25" spans="1:22">
      <c r="A25" s="2"/>
      <c r="B25" s="26" t="s">
        <v>64</v>
      </c>
      <c r="C25" s="27">
        <v>0</v>
      </c>
      <c r="D25" s="28">
        <v>0</v>
      </c>
      <c r="E25" s="29">
        <f t="shared" ref="E25:E45" si="0">+D25*C25</f>
        <v>0</v>
      </c>
      <c r="F25" s="6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</row>
    <row r="26" spans="1:22">
      <c r="A26" s="2"/>
      <c r="B26" s="26" t="s">
        <v>65</v>
      </c>
      <c r="C26" s="27">
        <v>0</v>
      </c>
      <c r="D26" s="28">
        <v>0</v>
      </c>
      <c r="E26" s="29">
        <f t="shared" si="0"/>
        <v>0</v>
      </c>
      <c r="F26" s="6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>
      <c r="A27" s="2"/>
      <c r="B27" s="26" t="s">
        <v>66</v>
      </c>
      <c r="C27" s="27"/>
      <c r="D27" s="28"/>
      <c r="E27" s="29">
        <f>SUM(E28:E31)</f>
        <v>44000</v>
      </c>
      <c r="F27" s="6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>
      <c r="A28" s="2"/>
      <c r="B28" s="30" t="s">
        <v>67</v>
      </c>
      <c r="C28" s="27">
        <v>13</v>
      </c>
      <c r="D28" s="28">
        <v>800</v>
      </c>
      <c r="E28" s="31">
        <f t="shared" si="0"/>
        <v>10400</v>
      </c>
      <c r="F28" s="6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>
      <c r="A29" s="2"/>
      <c r="B29" s="30" t="s">
        <v>68</v>
      </c>
      <c r="C29" s="27">
        <v>1</v>
      </c>
      <c r="D29" s="28">
        <v>2100</v>
      </c>
      <c r="E29" s="31">
        <f>+D29*C29</f>
        <v>2100</v>
      </c>
      <c r="F29" s="6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>
      <c r="A30" s="2"/>
      <c r="B30" s="30" t="s">
        <v>69</v>
      </c>
      <c r="C30" s="27">
        <v>25</v>
      </c>
      <c r="D30" s="28">
        <v>1200</v>
      </c>
      <c r="E30" s="31">
        <f t="shared" si="0"/>
        <v>30000</v>
      </c>
      <c r="F30" s="6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>
      <c r="A31" s="2"/>
      <c r="B31" s="30" t="s">
        <v>70</v>
      </c>
      <c r="C31" s="27">
        <v>1</v>
      </c>
      <c r="D31" s="28">
        <v>1500</v>
      </c>
      <c r="E31" s="31">
        <f t="shared" si="0"/>
        <v>1500</v>
      </c>
      <c r="F31" s="6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>
      <c r="A32" s="2"/>
      <c r="B32" s="26" t="s">
        <v>71</v>
      </c>
      <c r="C32" s="27"/>
      <c r="D32" s="28"/>
      <c r="E32" s="29">
        <f>SUM(E33:E37)</f>
        <v>230000</v>
      </c>
      <c r="F32" s="6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>
      <c r="A33" s="2"/>
      <c r="B33" s="30" t="s">
        <v>72</v>
      </c>
      <c r="C33" s="27">
        <v>13</v>
      </c>
      <c r="D33" s="28">
        <v>15000</v>
      </c>
      <c r="E33" s="31">
        <f t="shared" si="0"/>
        <v>195000</v>
      </c>
      <c r="F33" s="6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>
      <c r="A34" s="2"/>
      <c r="B34" s="30" t="s">
        <v>73</v>
      </c>
      <c r="C34" s="27">
        <v>2</v>
      </c>
      <c r="D34" s="28">
        <v>5000</v>
      </c>
      <c r="E34" s="31">
        <f t="shared" si="0"/>
        <v>10000</v>
      </c>
      <c r="F34" s="6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>
      <c r="A35" s="2"/>
      <c r="B35" s="30" t="s">
        <v>74</v>
      </c>
      <c r="C35" s="27">
        <v>1</v>
      </c>
      <c r="D35" s="28">
        <v>25000</v>
      </c>
      <c r="E35" s="31">
        <f t="shared" si="0"/>
        <v>25000</v>
      </c>
      <c r="F35" s="6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>
      <c r="A36" s="2"/>
      <c r="B36" s="30" t="s">
        <v>75</v>
      </c>
      <c r="C36" s="27">
        <v>0</v>
      </c>
      <c r="D36" s="28">
        <v>0</v>
      </c>
      <c r="E36" s="31">
        <f t="shared" si="0"/>
        <v>0</v>
      </c>
      <c r="F36" s="6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>
      <c r="A37" s="2"/>
      <c r="B37" s="30" t="s">
        <v>76</v>
      </c>
      <c r="C37" s="27">
        <v>0</v>
      </c>
      <c r="D37" s="28">
        <v>0</v>
      </c>
      <c r="E37" s="31">
        <f t="shared" si="0"/>
        <v>0</v>
      </c>
      <c r="F37" s="6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>
      <c r="A38" s="2"/>
      <c r="B38" s="26" t="s">
        <v>77</v>
      </c>
      <c r="C38" s="27"/>
      <c r="D38" s="28"/>
      <c r="E38" s="29">
        <f>SUM(E39:E41)</f>
        <v>0</v>
      </c>
      <c r="F38" s="6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>
      <c r="A39" s="2"/>
      <c r="B39" s="30" t="s">
        <v>78</v>
      </c>
      <c r="C39" s="27">
        <v>0</v>
      </c>
      <c r="D39" s="28">
        <v>0</v>
      </c>
      <c r="E39" s="31">
        <f t="shared" si="0"/>
        <v>0</v>
      </c>
      <c r="F39" s="6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>
      <c r="A40" s="2"/>
      <c r="B40" s="30" t="s">
        <v>79</v>
      </c>
      <c r="C40" s="27">
        <v>0</v>
      </c>
      <c r="D40" s="28">
        <v>0</v>
      </c>
      <c r="E40" s="31">
        <f t="shared" si="0"/>
        <v>0</v>
      </c>
      <c r="F40" s="6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>
      <c r="A41" s="2"/>
      <c r="B41" s="30" t="s">
        <v>80</v>
      </c>
      <c r="C41" s="27">
        <v>0</v>
      </c>
      <c r="D41" s="28">
        <v>0</v>
      </c>
      <c r="E41" s="31">
        <f t="shared" si="0"/>
        <v>0</v>
      </c>
      <c r="F41" s="6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>
      <c r="A42" s="2"/>
      <c r="B42" s="26" t="s">
        <v>81</v>
      </c>
      <c r="C42" s="27"/>
      <c r="D42" s="28"/>
      <c r="E42" s="29">
        <f>SUM(E43:E45)</f>
        <v>0</v>
      </c>
      <c r="F42" s="6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>
      <c r="A43" s="2"/>
      <c r="B43" s="30" t="s">
        <v>82</v>
      </c>
      <c r="C43" s="27">
        <v>0</v>
      </c>
      <c r="D43" s="28">
        <v>0</v>
      </c>
      <c r="E43" s="31">
        <f t="shared" si="0"/>
        <v>0</v>
      </c>
      <c r="F43" s="6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>
      <c r="A44" s="2"/>
      <c r="B44" s="30" t="s">
        <v>83</v>
      </c>
      <c r="C44" s="27">
        <v>0</v>
      </c>
      <c r="D44" s="28">
        <v>0</v>
      </c>
      <c r="E44" s="31">
        <f t="shared" si="0"/>
        <v>0</v>
      </c>
      <c r="F44" s="6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>
      <c r="A45" s="2"/>
      <c r="B45" s="30" t="s">
        <v>84</v>
      </c>
      <c r="C45" s="27">
        <v>0</v>
      </c>
      <c r="D45" s="28">
        <v>0</v>
      </c>
      <c r="E45" s="31">
        <f t="shared" si="0"/>
        <v>0</v>
      </c>
      <c r="F45" s="6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>
      <c r="A46" s="2"/>
      <c r="B46" s="32"/>
      <c r="C46" s="33"/>
      <c r="D46" s="33"/>
      <c r="E46" s="34">
        <f>+E25+E26+E27+E32+E38+E42</f>
        <v>274000</v>
      </c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>
      <c r="A47" s="2"/>
      <c r="B47" s="2"/>
      <c r="C47" s="2"/>
      <c r="D47" s="2"/>
      <c r="E47" s="4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>
      <c r="A48" s="2"/>
      <c r="B48" s="5" t="s">
        <v>85</v>
      </c>
      <c r="C48" s="6"/>
      <c r="D48" s="6"/>
      <c r="E48" s="7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>
      <c r="A49" s="2"/>
      <c r="B49" s="6"/>
      <c r="C49" s="6"/>
      <c r="D49" s="6"/>
      <c r="E49" s="7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ht="15" customHeight="1">
      <c r="A50" s="2"/>
      <c r="B50" s="221" t="s">
        <v>86</v>
      </c>
      <c r="C50" s="222"/>
      <c r="D50" s="222"/>
      <c r="E50" s="228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>
      <c r="A51" s="2"/>
      <c r="B51" s="9" t="s">
        <v>60</v>
      </c>
      <c r="C51" s="9" t="s">
        <v>87</v>
      </c>
      <c r="D51" s="9" t="s">
        <v>88</v>
      </c>
      <c r="E51" s="21" t="s">
        <v>47</v>
      </c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>
      <c r="A52" s="2"/>
      <c r="B52" s="212" t="s">
        <v>89</v>
      </c>
      <c r="C52" s="36">
        <v>30000</v>
      </c>
      <c r="D52" s="37">
        <v>1</v>
      </c>
      <c r="E52" s="31">
        <f>C52*D52</f>
        <v>30000</v>
      </c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ht="25.5">
      <c r="A53" s="2"/>
      <c r="B53" s="35" t="s">
        <v>90</v>
      </c>
      <c r="C53" s="36">
        <v>30000</v>
      </c>
      <c r="D53" s="37">
        <v>2</v>
      </c>
      <c r="E53" s="31">
        <f t="shared" ref="E53:E67" si="1">C53*D53</f>
        <v>60000</v>
      </c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>
      <c r="A54" s="2"/>
      <c r="B54" s="212" t="s">
        <v>91</v>
      </c>
      <c r="C54" s="36">
        <v>1500</v>
      </c>
      <c r="D54" s="37">
        <v>2</v>
      </c>
      <c r="E54" s="31">
        <f t="shared" si="1"/>
        <v>3000</v>
      </c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ht="25.5">
      <c r="A55" s="2"/>
      <c r="B55" s="35" t="s">
        <v>92</v>
      </c>
      <c r="C55" s="36">
        <v>1343</v>
      </c>
      <c r="D55" s="37">
        <v>1</v>
      </c>
      <c r="E55" s="31">
        <f t="shared" si="1"/>
        <v>1343</v>
      </c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>
      <c r="A56" s="2"/>
      <c r="B56" s="212" t="s">
        <v>93</v>
      </c>
      <c r="C56" s="36">
        <v>12300</v>
      </c>
      <c r="D56" s="37">
        <v>1</v>
      </c>
      <c r="E56" s="31">
        <f t="shared" si="1"/>
        <v>12300</v>
      </c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>
      <c r="A57" s="2"/>
      <c r="B57" s="212" t="s">
        <v>94</v>
      </c>
      <c r="C57" s="36">
        <v>1500</v>
      </c>
      <c r="D57" s="37">
        <v>1</v>
      </c>
      <c r="E57" s="31">
        <f t="shared" si="1"/>
        <v>1500</v>
      </c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>
      <c r="A58" s="2"/>
      <c r="B58" s="212" t="s">
        <v>95</v>
      </c>
      <c r="C58" s="36">
        <v>0</v>
      </c>
      <c r="D58" s="37"/>
      <c r="E58" s="31">
        <f t="shared" si="1"/>
        <v>0</v>
      </c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>
      <c r="A59" s="2"/>
      <c r="B59" s="212" t="s">
        <v>96</v>
      </c>
      <c r="C59" s="36">
        <v>0</v>
      </c>
      <c r="D59" s="37"/>
      <c r="E59" s="31">
        <f t="shared" si="1"/>
        <v>0</v>
      </c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>
      <c r="A60" s="2"/>
      <c r="B60" s="45" t="s">
        <v>97</v>
      </c>
      <c r="C60" s="36">
        <v>1000</v>
      </c>
      <c r="D60" s="37">
        <v>1</v>
      </c>
      <c r="E60" s="31">
        <f t="shared" si="1"/>
        <v>1000</v>
      </c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>
      <c r="A61" s="2"/>
      <c r="B61" s="212" t="s">
        <v>98</v>
      </c>
      <c r="C61" s="36">
        <v>3000</v>
      </c>
      <c r="D61" s="37">
        <v>1</v>
      </c>
      <c r="E61" s="31">
        <f t="shared" si="1"/>
        <v>3000</v>
      </c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>
      <c r="A62" s="2"/>
      <c r="B62" s="212" t="s">
        <v>99</v>
      </c>
      <c r="C62" s="36">
        <v>5000</v>
      </c>
      <c r="D62" s="37"/>
      <c r="E62" s="31">
        <f t="shared" si="1"/>
        <v>0</v>
      </c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>
      <c r="A63" s="2"/>
      <c r="B63" s="38" t="s">
        <v>100</v>
      </c>
      <c r="C63" s="36"/>
      <c r="D63" s="37"/>
      <c r="E63" s="31">
        <f t="shared" si="1"/>
        <v>0</v>
      </c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ht="25.5">
      <c r="A64" s="2"/>
      <c r="B64" s="35" t="s">
        <v>101</v>
      </c>
      <c r="C64" s="36">
        <f>SUM(Remuneraciones!E3:E18)+Remuneraciones!E6*2</f>
        <v>75000</v>
      </c>
      <c r="D64" s="37">
        <v>2</v>
      </c>
      <c r="E64" s="31">
        <f t="shared" si="1"/>
        <v>150000</v>
      </c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>
      <c r="A65" s="2"/>
      <c r="B65" s="212" t="s">
        <v>102</v>
      </c>
      <c r="C65" s="36">
        <v>0</v>
      </c>
      <c r="D65" s="37">
        <v>2</v>
      </c>
      <c r="E65" s="31">
        <f t="shared" si="1"/>
        <v>0</v>
      </c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>
      <c r="A66" s="2"/>
      <c r="B66" s="212" t="s">
        <v>103</v>
      </c>
      <c r="C66" s="71">
        <f ca="1">Financiamiento!E5+Financiamiento!E6</f>
        <v>13187.391900393271</v>
      </c>
      <c r="D66" s="37">
        <v>1</v>
      </c>
      <c r="E66" s="31">
        <f t="shared" ca="1" si="1"/>
        <v>13187.391900393271</v>
      </c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>
      <c r="A67" s="2"/>
      <c r="B67" s="212" t="s">
        <v>104</v>
      </c>
      <c r="C67" s="71">
        <f ca="1">Financiamiento!C5+Financiamiento!C6</f>
        <v>6259.0799567460617</v>
      </c>
      <c r="D67" s="37">
        <v>1</v>
      </c>
      <c r="E67" s="31">
        <f t="shared" ca="1" si="1"/>
        <v>6259.0799567460617</v>
      </c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>
      <c r="A68" s="2"/>
      <c r="B68" s="212" t="s">
        <v>105</v>
      </c>
      <c r="C68" s="36"/>
      <c r="D68" s="37"/>
      <c r="E68" s="39">
        <f>SUM(E52:E65)</f>
        <v>262143</v>
      </c>
      <c r="F68" s="137">
        <f>E68*6</f>
        <v>1572858</v>
      </c>
      <c r="G68" s="137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>
      <c r="A69" s="2"/>
      <c r="B69" s="212" t="s">
        <v>9</v>
      </c>
      <c r="C69" s="36"/>
      <c r="D69" s="37"/>
      <c r="E69" s="39">
        <f ca="1">E66+E67+E68</f>
        <v>280589.47185713932</v>
      </c>
      <c r="F69" s="137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>
      <c r="A70" s="2"/>
      <c r="B70" s="5" t="s">
        <v>106</v>
      </c>
      <c r="C70" s="6"/>
      <c r="D70" s="6"/>
      <c r="E70" s="7"/>
      <c r="F70" s="137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>
      <c r="A71" s="2"/>
      <c r="B71" s="6"/>
      <c r="C71" s="6"/>
      <c r="D71" s="6"/>
      <c r="E71" s="7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ht="15" customHeight="1">
      <c r="A72" s="2"/>
      <c r="B72" s="221" t="s">
        <v>107</v>
      </c>
      <c r="C72" s="229"/>
      <c r="D72" s="230"/>
      <c r="E72" s="7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>
      <c r="A73" s="2"/>
      <c r="B73" s="40" t="s">
        <v>108</v>
      </c>
      <c r="C73" s="41"/>
      <c r="D73" s="10">
        <f>+F17</f>
        <v>45899</v>
      </c>
      <c r="E73" s="7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>
      <c r="A74" s="2"/>
      <c r="B74" s="40" t="s">
        <v>109</v>
      </c>
      <c r="C74" s="42"/>
      <c r="D74" s="10">
        <f>+E46</f>
        <v>274000</v>
      </c>
      <c r="E74" s="7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>
      <c r="A75" s="2"/>
      <c r="B75" s="40" t="s">
        <v>110</v>
      </c>
      <c r="C75" s="43"/>
      <c r="D75" s="10">
        <f>+E68</f>
        <v>262143</v>
      </c>
      <c r="E75" s="7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>
      <c r="A76" s="2"/>
      <c r="B76" s="11" t="s">
        <v>111</v>
      </c>
      <c r="C76" s="44"/>
      <c r="D76" s="14">
        <f>SUM(D73:D75)</f>
        <v>582042</v>
      </c>
      <c r="E76" s="7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>
      <c r="A77" s="2"/>
      <c r="B77" s="2"/>
      <c r="C77" s="2"/>
      <c r="D77" s="2"/>
      <c r="E77" s="4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>
      <c r="A78" s="2"/>
      <c r="B78" s="2" t="s">
        <v>112</v>
      </c>
      <c r="C78" s="2"/>
      <c r="D78" s="99">
        <f>'Capital  Social'!D8</f>
        <v>390000</v>
      </c>
      <c r="E78" s="4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>
      <c r="A79" s="2"/>
      <c r="B79" s="2"/>
      <c r="C79" s="2"/>
      <c r="D79" s="2"/>
      <c r="E79" s="4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>
      <c r="A80" s="2"/>
      <c r="B80" s="2" t="s">
        <v>113</v>
      </c>
      <c r="C80" s="2"/>
      <c r="D80" s="10">
        <f ca="1">+D76-D78-'Capital  Social'!C12</f>
        <v>191042</v>
      </c>
      <c r="E80" s="4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>
      <c r="A81" s="2"/>
      <c r="B81" s="2"/>
      <c r="C81" s="2"/>
      <c r="D81" s="2"/>
      <c r="E81" s="4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mergeCells count="15">
    <mergeCell ref="B22:E22"/>
    <mergeCell ref="B50:E50"/>
    <mergeCell ref="B72:D72"/>
    <mergeCell ref="B11:E11"/>
    <mergeCell ref="B12:E12"/>
    <mergeCell ref="B13:E13"/>
    <mergeCell ref="B14:E14"/>
    <mergeCell ref="B15:E15"/>
    <mergeCell ref="B16:E16"/>
    <mergeCell ref="B10:E10"/>
    <mergeCell ref="B7:E7"/>
    <mergeCell ref="B2:F2"/>
    <mergeCell ref="D6:E6"/>
    <mergeCell ref="B8:E8"/>
    <mergeCell ref="B9:E9"/>
  </mergeCells>
  <pageMargins left="0.70866141732283472" right="0.70866141732283472" top="0.74803149606299213" bottom="0.74803149606299213" header="0.31496062992125984" footer="0.31496062992125984"/>
  <pageSetup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D396C6-1CB5-4169-B6B1-4954DF4A8838}">
  <sheetPr>
    <pageSetUpPr fitToPage="1"/>
  </sheetPr>
  <dimension ref="A1:BI379"/>
  <sheetViews>
    <sheetView workbookViewId="0">
      <selection activeCell="C3" sqref="C3"/>
    </sheetView>
  </sheetViews>
  <sheetFormatPr defaultColWidth="11.5546875" defaultRowHeight="15"/>
  <cols>
    <col min="6" max="6" width="17.5546875" customWidth="1"/>
    <col min="9" max="9" width="18.33203125" customWidth="1"/>
    <col min="10" max="10" width="16.109375" customWidth="1"/>
  </cols>
  <sheetData>
    <row r="1" spans="1:61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  <c r="AK1" s="2"/>
      <c r="AL1" s="2"/>
      <c r="AM1" s="2"/>
      <c r="AN1" s="2"/>
      <c r="AO1" s="2"/>
      <c r="AP1" s="2"/>
      <c r="AQ1" s="2"/>
      <c r="AR1" s="2"/>
      <c r="AS1" s="2"/>
      <c r="AT1" s="2"/>
      <c r="AU1" s="2"/>
      <c r="AV1" s="2"/>
      <c r="AW1" s="2"/>
      <c r="AX1" s="2"/>
      <c r="AY1" s="2"/>
      <c r="AZ1" s="2"/>
      <c r="BA1" s="2"/>
      <c r="BB1" s="2"/>
      <c r="BC1" s="2"/>
      <c r="BD1" s="2"/>
      <c r="BE1" s="2"/>
      <c r="BF1" s="2"/>
      <c r="BG1" s="2"/>
      <c r="BH1" s="2"/>
      <c r="BI1" s="2"/>
    </row>
    <row r="2" spans="1:61" ht="15.75">
      <c r="A2" s="209"/>
      <c r="B2" s="209"/>
      <c r="C2" s="216" t="s">
        <v>114</v>
      </c>
      <c r="D2" s="216"/>
      <c r="E2" s="216"/>
      <c r="F2" s="209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</row>
    <row r="3" spans="1:61" ht="31.5">
      <c r="A3" s="61"/>
      <c r="B3" s="61" t="s">
        <v>115</v>
      </c>
      <c r="C3" s="61" t="s">
        <v>116</v>
      </c>
      <c r="D3" s="61" t="s">
        <v>117</v>
      </c>
      <c r="E3" s="61" t="s">
        <v>118</v>
      </c>
      <c r="F3" s="61" t="s">
        <v>119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  <c r="AO3" s="2"/>
      <c r="AP3" s="2"/>
      <c r="AQ3" s="2"/>
      <c r="AR3" s="2"/>
      <c r="AS3" s="2"/>
      <c r="AT3" s="2"/>
      <c r="AU3" s="2"/>
      <c r="AV3" s="2"/>
      <c r="AW3" s="2"/>
      <c r="AX3" s="2"/>
      <c r="AY3" s="2"/>
      <c r="AZ3" s="2"/>
      <c r="BA3" s="2"/>
      <c r="BB3" s="2"/>
      <c r="BC3" s="2"/>
      <c r="BD3" s="2"/>
      <c r="BE3" s="2"/>
      <c r="BF3" s="2"/>
      <c r="BG3" s="2"/>
      <c r="BH3" s="2"/>
      <c r="BI3" s="2"/>
    </row>
    <row r="4" spans="1:61">
      <c r="A4" s="2"/>
      <c r="B4" s="72">
        <v>0</v>
      </c>
      <c r="C4" s="63"/>
      <c r="D4" s="63"/>
      <c r="E4" s="63"/>
      <c r="F4" s="63">
        <f ca="1">J6</f>
        <v>191042</v>
      </c>
      <c r="G4" s="64"/>
      <c r="H4" s="2"/>
      <c r="I4" s="2"/>
      <c r="J4" s="76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  <c r="AK4" s="2"/>
      <c r="AL4" s="2"/>
      <c r="AM4" s="2"/>
      <c r="AN4" s="2"/>
      <c r="AO4" s="2"/>
      <c r="AP4" s="2"/>
      <c r="AQ4" s="2"/>
      <c r="AR4" s="2"/>
      <c r="AS4" s="2"/>
      <c r="AT4" s="2"/>
      <c r="AU4" s="2"/>
      <c r="AV4" s="2"/>
      <c r="AW4" s="2"/>
      <c r="AX4" s="2"/>
      <c r="AY4" s="2"/>
      <c r="AZ4" s="2"/>
      <c r="BA4" s="2"/>
      <c r="BB4" s="2"/>
      <c r="BC4" s="2"/>
      <c r="BD4" s="2"/>
      <c r="BE4" s="2"/>
      <c r="BF4" s="2"/>
      <c r="BG4" s="2"/>
      <c r="BH4" s="2"/>
      <c r="BI4" s="2"/>
    </row>
    <row r="5" spans="1:61" ht="15.75">
      <c r="A5" s="2"/>
      <c r="B5" s="65">
        <v>1</v>
      </c>
      <c r="C5" s="66">
        <f ca="1">(F4/12)*$I$6</f>
        <v>3184.0333333333333</v>
      </c>
      <c r="D5" s="66">
        <f t="shared" ref="D5:D40" ca="1" si="0">IF(B5&lt;=$K$6,($J$6*($I$6/12)*(((1+($I$6/12))^$K$6)/(((1+($I$6/12))^$K$6)-1))),0)</f>
        <v>9723.2359285696657</v>
      </c>
      <c r="E5" s="66">
        <f ca="1">D5-C5</f>
        <v>6539.2025952363329</v>
      </c>
      <c r="F5" s="66">
        <f ca="1">F4-E5</f>
        <v>184502.79740476367</v>
      </c>
      <c r="G5" s="64"/>
      <c r="H5" s="2"/>
      <c r="I5" s="46" t="s">
        <v>120</v>
      </c>
      <c r="J5" s="46" t="s">
        <v>121</v>
      </c>
      <c r="K5" s="209" t="s">
        <v>88</v>
      </c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2"/>
      <c r="AL5" s="2"/>
      <c r="AM5" s="2"/>
      <c r="AN5" s="2"/>
      <c r="AO5" s="2"/>
      <c r="AP5" s="2"/>
      <c r="AQ5" s="2"/>
      <c r="AR5" s="2"/>
      <c r="AS5" s="2"/>
      <c r="AT5" s="2"/>
      <c r="AU5" s="2"/>
      <c r="AV5" s="2"/>
      <c r="AW5" s="2"/>
      <c r="AX5" s="2"/>
      <c r="AY5" s="2"/>
      <c r="AZ5" s="2"/>
      <c r="BA5" s="2"/>
      <c r="BB5" s="2"/>
      <c r="BC5" s="2"/>
      <c r="BD5" s="2"/>
      <c r="BE5" s="2"/>
      <c r="BF5" s="2"/>
      <c r="BG5" s="2"/>
      <c r="BH5" s="2"/>
      <c r="BI5" s="2"/>
    </row>
    <row r="6" spans="1:61">
      <c r="A6" s="2"/>
      <c r="B6" s="62">
        <v>2</v>
      </c>
      <c r="C6" s="63">
        <f ca="1">(F5/12)*$I$6</f>
        <v>3075.046623412728</v>
      </c>
      <c r="D6" s="63">
        <f t="shared" ca="1" si="0"/>
        <v>9723.2359285696657</v>
      </c>
      <c r="E6" s="63">
        <f t="shared" ref="E6:E40" ca="1" si="1">D6-C6</f>
        <v>6648.1893051569377</v>
      </c>
      <c r="F6" s="63">
        <f t="shared" ref="F6:F39" ca="1" si="2">F5-E6</f>
        <v>177854.60809960673</v>
      </c>
      <c r="G6" s="64"/>
      <c r="H6" s="2"/>
      <c r="I6" s="67">
        <v>0.2</v>
      </c>
      <c r="J6" s="70">
        <f ca="1">'Inversion Total'!D80</f>
        <v>191042</v>
      </c>
      <c r="K6" s="68">
        <v>24</v>
      </c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</row>
    <row r="7" spans="1:61">
      <c r="A7" s="2"/>
      <c r="B7" s="65">
        <v>3</v>
      </c>
      <c r="C7" s="66">
        <f t="shared" ref="C7:C40" ca="1" si="3">(F6/12)*$I$6</f>
        <v>2964.2434683267788</v>
      </c>
      <c r="D7" s="66">
        <f t="shared" ca="1" si="0"/>
        <v>9723.2359285696657</v>
      </c>
      <c r="E7" s="66">
        <f t="shared" ca="1" si="1"/>
        <v>6758.9924602428873</v>
      </c>
      <c r="F7" s="66">
        <f t="shared" ca="1" si="2"/>
        <v>171095.61563936385</v>
      </c>
      <c r="G7" s="64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  <c r="AK7" s="2"/>
      <c r="AL7" s="2"/>
      <c r="AM7" s="2"/>
      <c r="AN7" s="2"/>
      <c r="AO7" s="2"/>
      <c r="AP7" s="2"/>
      <c r="AQ7" s="2"/>
      <c r="AR7" s="2"/>
      <c r="AS7" s="2"/>
      <c r="AT7" s="2"/>
      <c r="AU7" s="2"/>
      <c r="AV7" s="2"/>
      <c r="AW7" s="2"/>
      <c r="AX7" s="2"/>
      <c r="AY7" s="2"/>
      <c r="AZ7" s="2"/>
      <c r="BA7" s="2"/>
      <c r="BB7" s="2"/>
      <c r="BC7" s="2"/>
      <c r="BD7" s="2"/>
      <c r="BE7" s="2"/>
      <c r="BF7" s="2"/>
      <c r="BG7" s="2"/>
      <c r="BH7" s="2"/>
      <c r="BI7" s="2"/>
    </row>
    <row r="8" spans="1:61">
      <c r="A8" s="2"/>
      <c r="B8" s="62">
        <v>4</v>
      </c>
      <c r="C8" s="63">
        <f t="shared" ca="1" si="3"/>
        <v>2851.5935939893975</v>
      </c>
      <c r="D8" s="63">
        <f t="shared" ca="1" si="0"/>
        <v>9723.2359285696657</v>
      </c>
      <c r="E8" s="63">
        <f t="shared" ca="1" si="1"/>
        <v>6871.6423345802687</v>
      </c>
      <c r="F8" s="63">
        <f t="shared" ca="1" si="2"/>
        <v>164223.97330478358</v>
      </c>
      <c r="G8" s="64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  <c r="AK8" s="2"/>
      <c r="AL8" s="2"/>
      <c r="AM8" s="2"/>
      <c r="AN8" s="2"/>
      <c r="AO8" s="2"/>
      <c r="AP8" s="2"/>
      <c r="AQ8" s="2"/>
      <c r="AR8" s="2"/>
      <c r="AS8" s="2"/>
      <c r="AT8" s="2"/>
      <c r="AU8" s="2"/>
      <c r="AV8" s="2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</row>
    <row r="9" spans="1:61">
      <c r="A9" s="2"/>
      <c r="B9" s="65">
        <v>5</v>
      </c>
      <c r="C9" s="66">
        <f t="shared" ca="1" si="3"/>
        <v>2737.0662217463932</v>
      </c>
      <c r="D9" s="66">
        <f t="shared" ca="1" si="0"/>
        <v>9723.2359285696657</v>
      </c>
      <c r="E9" s="66">
        <f t="shared" ca="1" si="1"/>
        <v>6986.1697068232725</v>
      </c>
      <c r="F9" s="66">
        <f t="shared" ca="1" si="2"/>
        <v>157237.8035979603</v>
      </c>
      <c r="G9" s="64"/>
      <c r="H9" s="2"/>
      <c r="I9" s="2"/>
      <c r="J9" s="2"/>
      <c r="K9" s="2"/>
      <c r="L9" s="76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  <c r="AK9" s="2"/>
      <c r="AL9" s="2"/>
      <c r="AM9" s="2"/>
      <c r="AN9" s="2"/>
      <c r="AO9" s="2"/>
      <c r="AP9" s="2"/>
      <c r="AQ9" s="2"/>
      <c r="AR9" s="2"/>
      <c r="AS9" s="2"/>
      <c r="AT9" s="2"/>
      <c r="AU9" s="2"/>
      <c r="AV9" s="2"/>
      <c r="AW9" s="2"/>
      <c r="AX9" s="2"/>
      <c r="AY9" s="2"/>
      <c r="AZ9" s="2"/>
      <c r="BA9" s="2"/>
      <c r="BB9" s="2"/>
      <c r="BC9" s="2"/>
      <c r="BD9" s="2"/>
      <c r="BE9" s="2"/>
      <c r="BF9" s="2"/>
      <c r="BG9" s="2"/>
      <c r="BH9" s="2"/>
      <c r="BI9" s="2"/>
    </row>
    <row r="10" spans="1:61">
      <c r="A10" s="2"/>
      <c r="B10" s="62">
        <v>6</v>
      </c>
      <c r="C10" s="63">
        <f t="shared" ca="1" si="3"/>
        <v>2620.6300599660053</v>
      </c>
      <c r="D10" s="63">
        <f t="shared" ca="1" si="0"/>
        <v>9723.2359285696657</v>
      </c>
      <c r="E10" s="63">
        <f t="shared" ca="1" si="1"/>
        <v>7102.6058686036604</v>
      </c>
      <c r="F10" s="63">
        <f t="shared" ca="1" si="2"/>
        <v>150135.19772935665</v>
      </c>
      <c r="G10" s="64"/>
      <c r="H10" s="2"/>
      <c r="I10" s="2"/>
      <c r="J10" s="2">
        <v>390000</v>
      </c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  <c r="AK10" s="2"/>
      <c r="AL10" s="2"/>
      <c r="AM10" s="2"/>
      <c r="AN10" s="2"/>
      <c r="AO10" s="2"/>
      <c r="AP10" s="2"/>
      <c r="AQ10" s="2"/>
      <c r="AR10" s="2"/>
      <c r="AS10" s="2"/>
      <c r="AT10" s="2"/>
      <c r="AU10" s="2"/>
      <c r="AV10" s="2"/>
      <c r="AW10" s="2"/>
      <c r="AX10" s="2"/>
      <c r="AY10" s="2"/>
      <c r="AZ10" s="2"/>
      <c r="BA10" s="2"/>
      <c r="BB10" s="2"/>
      <c r="BC10" s="2"/>
      <c r="BD10" s="2"/>
      <c r="BE10" s="2"/>
      <c r="BF10" s="2"/>
      <c r="BG10" s="2"/>
      <c r="BH10" s="2"/>
      <c r="BI10" s="2"/>
    </row>
    <row r="11" spans="1:61">
      <c r="A11" s="2"/>
      <c r="B11" s="65">
        <v>7</v>
      </c>
      <c r="C11" s="66">
        <f t="shared" ca="1" si="3"/>
        <v>2502.2532954892777</v>
      </c>
      <c r="D11" s="66">
        <f t="shared" ca="1" si="0"/>
        <v>9723.2359285696657</v>
      </c>
      <c r="E11" s="66">
        <f t="shared" ca="1" si="1"/>
        <v>7220.982633080388</v>
      </c>
      <c r="F11" s="66">
        <f t="shared" ca="1" si="2"/>
        <v>142914.21509627625</v>
      </c>
      <c r="G11" s="64"/>
      <c r="H11" s="2"/>
      <c r="I11" s="69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2"/>
      <c r="AL11" s="2"/>
      <c r="AM11" s="2"/>
      <c r="AN11" s="2"/>
      <c r="AO11" s="2"/>
      <c r="AP11" s="2"/>
      <c r="AQ11" s="2"/>
      <c r="AR11" s="2"/>
      <c r="AS11" s="2"/>
      <c r="AT11" s="2"/>
      <c r="AU11" s="2"/>
      <c r="AV11" s="2"/>
      <c r="AW11" s="2"/>
      <c r="AX11" s="2"/>
      <c r="AY11" s="2"/>
      <c r="AZ11" s="2"/>
      <c r="BA11" s="2"/>
      <c r="BB11" s="2"/>
      <c r="BC11" s="2"/>
      <c r="BD11" s="2"/>
      <c r="BE11" s="2"/>
      <c r="BF11" s="2"/>
      <c r="BG11" s="2"/>
      <c r="BH11" s="2"/>
      <c r="BI11" s="2"/>
    </row>
    <row r="12" spans="1:61">
      <c r="A12" s="2"/>
      <c r="B12" s="62">
        <v>8</v>
      </c>
      <c r="C12" s="63">
        <f t="shared" ca="1" si="3"/>
        <v>2381.9035849379375</v>
      </c>
      <c r="D12" s="63">
        <f t="shared" ca="1" si="0"/>
        <v>9723.2359285696657</v>
      </c>
      <c r="E12" s="63">
        <f t="shared" ca="1" si="1"/>
        <v>7341.3323436317278</v>
      </c>
      <c r="F12" s="63">
        <f t="shared" ca="1" si="2"/>
        <v>135572.88275264454</v>
      </c>
      <c r="G12" s="64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  <c r="AK12" s="2"/>
      <c r="AL12" s="2"/>
      <c r="AM12" s="2"/>
      <c r="AN12" s="2"/>
      <c r="AO12" s="2"/>
      <c r="AP12" s="2"/>
      <c r="AQ12" s="2"/>
      <c r="AR12" s="2"/>
      <c r="AS12" s="2"/>
      <c r="AT12" s="2"/>
      <c r="AU12" s="2"/>
      <c r="AV12" s="2"/>
      <c r="AW12" s="2"/>
      <c r="AX12" s="2"/>
      <c r="AY12" s="2"/>
      <c r="AZ12" s="2"/>
      <c r="BA12" s="2"/>
      <c r="BB12" s="2"/>
      <c r="BC12" s="2"/>
      <c r="BD12" s="2"/>
      <c r="BE12" s="2"/>
      <c r="BF12" s="2"/>
      <c r="BG12" s="2"/>
      <c r="BH12" s="2"/>
      <c r="BI12" s="2"/>
    </row>
    <row r="13" spans="1:61">
      <c r="A13" s="2"/>
      <c r="B13" s="65">
        <v>9</v>
      </c>
      <c r="C13" s="66">
        <f t="shared" ca="1" si="3"/>
        <v>2259.5480458774091</v>
      </c>
      <c r="D13" s="66">
        <f t="shared" ca="1" si="0"/>
        <v>9723.2359285696657</v>
      </c>
      <c r="E13" s="66">
        <f t="shared" ca="1" si="1"/>
        <v>7463.6878826922566</v>
      </c>
      <c r="F13" s="66">
        <f t="shared" ca="1" si="2"/>
        <v>128109.19486995228</v>
      </c>
      <c r="G13" s="64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  <c r="AK13" s="2"/>
      <c r="AL13" s="2"/>
      <c r="AM13" s="2"/>
      <c r="AN13" s="2"/>
      <c r="AO13" s="2"/>
      <c r="AP13" s="2"/>
      <c r="AQ13" s="2"/>
      <c r="AR13" s="2"/>
      <c r="AS13" s="2"/>
      <c r="AT13" s="2"/>
      <c r="AU13" s="2"/>
      <c r="AV13" s="2"/>
      <c r="AW13" s="2"/>
      <c r="AX13" s="2"/>
      <c r="AY13" s="2"/>
      <c r="AZ13" s="2"/>
      <c r="BA13" s="2"/>
      <c r="BB13" s="2"/>
      <c r="BC13" s="2"/>
      <c r="BD13" s="2"/>
      <c r="BE13" s="2"/>
      <c r="BF13" s="2"/>
      <c r="BG13" s="2"/>
      <c r="BH13" s="2"/>
      <c r="BI13" s="2"/>
    </row>
    <row r="14" spans="1:61">
      <c r="A14" s="2"/>
      <c r="B14" s="62">
        <v>10</v>
      </c>
      <c r="C14" s="63">
        <f t="shared" ca="1" si="3"/>
        <v>2135.153247832538</v>
      </c>
      <c r="D14" s="63">
        <f t="shared" ca="1" si="0"/>
        <v>9723.2359285696657</v>
      </c>
      <c r="E14" s="63">
        <f t="shared" ca="1" si="1"/>
        <v>7588.0826807371277</v>
      </c>
      <c r="F14" s="63">
        <f t="shared" ca="1" si="2"/>
        <v>120521.11218921514</v>
      </c>
      <c r="G14" s="64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  <c r="AK14" s="2"/>
      <c r="AL14" s="2"/>
      <c r="AM14" s="2"/>
      <c r="AN14" s="2"/>
      <c r="AO14" s="2"/>
      <c r="AP14" s="2"/>
      <c r="AQ14" s="2"/>
      <c r="AR14" s="2"/>
      <c r="AS14" s="2"/>
      <c r="AT14" s="2"/>
      <c r="AU14" s="2"/>
      <c r="AV14" s="2"/>
      <c r="AW14" s="2"/>
      <c r="AX14" s="2"/>
      <c r="AY14" s="2"/>
      <c r="AZ14" s="2"/>
      <c r="BA14" s="2"/>
      <c r="BB14" s="2"/>
      <c r="BC14" s="2"/>
      <c r="BD14" s="2"/>
      <c r="BE14" s="2"/>
      <c r="BF14" s="2"/>
      <c r="BG14" s="2"/>
      <c r="BH14" s="2"/>
      <c r="BI14" s="2"/>
    </row>
    <row r="15" spans="1:61">
      <c r="A15" s="2"/>
      <c r="B15" s="65">
        <v>11</v>
      </c>
      <c r="C15" s="66">
        <f t="shared" ca="1" si="3"/>
        <v>2008.6852031535859</v>
      </c>
      <c r="D15" s="66">
        <f t="shared" ca="1" si="0"/>
        <v>9723.2359285696657</v>
      </c>
      <c r="E15" s="66">
        <f t="shared" ca="1" si="1"/>
        <v>7714.5507254160802</v>
      </c>
      <c r="F15" s="66">
        <f t="shared" ca="1" si="2"/>
        <v>112806.56146379907</v>
      </c>
      <c r="G15" s="64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  <c r="AK15" s="2"/>
      <c r="AL15" s="2"/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"/>
      <c r="BC15" s="2"/>
      <c r="BD15" s="2"/>
      <c r="BE15" s="2"/>
      <c r="BF15" s="2"/>
      <c r="BG15" s="2"/>
      <c r="BH15" s="2"/>
      <c r="BI15" s="2"/>
    </row>
    <row r="16" spans="1:61">
      <c r="A16" s="2"/>
      <c r="B16" s="62">
        <v>12</v>
      </c>
      <c r="C16" s="63">
        <f t="shared" ca="1" si="3"/>
        <v>1880.1093577299846</v>
      </c>
      <c r="D16" s="63">
        <f t="shared" ca="1" si="0"/>
        <v>9723.2359285696657</v>
      </c>
      <c r="E16" s="63">
        <f t="shared" ca="1" si="1"/>
        <v>7843.1265708396813</v>
      </c>
      <c r="F16" s="63">
        <f t="shared" ca="1" si="2"/>
        <v>104963.43489295938</v>
      </c>
      <c r="G16" s="64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2"/>
      <c r="AL16" s="2"/>
      <c r="AM16" s="2"/>
      <c r="AN16" s="2"/>
      <c r="AO16" s="2"/>
      <c r="AP16" s="2"/>
      <c r="AQ16" s="2"/>
      <c r="AR16" s="2"/>
      <c r="AS16" s="2"/>
      <c r="AT16" s="2"/>
      <c r="AU16" s="2"/>
      <c r="AV16" s="2"/>
      <c r="AW16" s="2"/>
      <c r="AX16" s="2"/>
      <c r="AY16" s="2"/>
      <c r="AZ16" s="2"/>
      <c r="BA16" s="2"/>
      <c r="BB16" s="2"/>
      <c r="BC16" s="2"/>
      <c r="BD16" s="2"/>
      <c r="BE16" s="2"/>
      <c r="BF16" s="2"/>
      <c r="BG16" s="2"/>
      <c r="BH16" s="2"/>
      <c r="BI16" s="2"/>
    </row>
    <row r="17" spans="1:61">
      <c r="A17" s="2"/>
      <c r="B17" s="65">
        <v>13</v>
      </c>
      <c r="C17" s="66">
        <f t="shared" ca="1" si="3"/>
        <v>1749.3905815493233</v>
      </c>
      <c r="D17" s="66">
        <f t="shared" ca="1" si="0"/>
        <v>9723.2359285696657</v>
      </c>
      <c r="E17" s="66">
        <f t="shared" ca="1" si="1"/>
        <v>7973.8453470203422</v>
      </c>
      <c r="F17" s="66">
        <f t="shared" ca="1" si="2"/>
        <v>96989.589545939045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  <c r="AK17" s="2"/>
      <c r="AL17" s="2"/>
      <c r="AM17" s="2"/>
      <c r="AN17" s="2"/>
      <c r="AO17" s="2"/>
      <c r="AP17" s="2"/>
      <c r="AQ17" s="2"/>
      <c r="AR17" s="2"/>
      <c r="AS17" s="2"/>
      <c r="AT17" s="2"/>
      <c r="AU17" s="2"/>
      <c r="AV17" s="2"/>
      <c r="AW17" s="2"/>
      <c r="AX17" s="2"/>
      <c r="AY17" s="2"/>
      <c r="AZ17" s="2"/>
      <c r="BA17" s="2"/>
      <c r="BB17" s="2"/>
      <c r="BC17" s="2"/>
      <c r="BD17" s="2"/>
      <c r="BE17" s="2"/>
      <c r="BF17" s="2"/>
      <c r="BG17" s="2"/>
      <c r="BH17" s="2"/>
      <c r="BI17" s="2"/>
    </row>
    <row r="18" spans="1:61">
      <c r="A18" s="2"/>
      <c r="B18" s="62">
        <v>14</v>
      </c>
      <c r="C18" s="63">
        <f t="shared" ca="1" si="3"/>
        <v>1616.4931590989843</v>
      </c>
      <c r="D18" s="63">
        <f t="shared" ca="1" si="0"/>
        <v>9723.2359285696657</v>
      </c>
      <c r="E18" s="63">
        <f t="shared" ca="1" si="1"/>
        <v>8106.7427694706812</v>
      </c>
      <c r="F18" s="63">
        <f t="shared" ca="1" si="2"/>
        <v>88882.846776468359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  <c r="AK18" s="2"/>
      <c r="AL18" s="2"/>
      <c r="AM18" s="2"/>
      <c r="AN18" s="2"/>
      <c r="AO18" s="2"/>
      <c r="AP18" s="2"/>
      <c r="AQ18" s="2"/>
      <c r="AR18" s="2"/>
      <c r="AS18" s="2"/>
      <c r="AT18" s="2"/>
      <c r="AU18" s="2"/>
      <c r="AV18" s="2"/>
      <c r="AW18" s="2"/>
      <c r="AX18" s="2"/>
      <c r="AY18" s="2"/>
      <c r="AZ18" s="2"/>
      <c r="BA18" s="2"/>
      <c r="BB18" s="2"/>
      <c r="BC18" s="2"/>
      <c r="BD18" s="2"/>
      <c r="BE18" s="2"/>
      <c r="BF18" s="2"/>
      <c r="BG18" s="2"/>
      <c r="BH18" s="2"/>
      <c r="BI18" s="2"/>
    </row>
    <row r="19" spans="1:61">
      <c r="A19" s="2"/>
      <c r="B19" s="65">
        <v>15</v>
      </c>
      <c r="C19" s="66">
        <f t="shared" ca="1" si="3"/>
        <v>1481.3807796078061</v>
      </c>
      <c r="D19" s="66">
        <f t="shared" ca="1" si="0"/>
        <v>9723.2359285696657</v>
      </c>
      <c r="E19" s="66">
        <f t="shared" ca="1" si="1"/>
        <v>8241.8551489618603</v>
      </c>
      <c r="F19" s="66">
        <f t="shared" ca="1" si="2"/>
        <v>80640.991627506504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  <c r="AK19" s="2"/>
      <c r="AL19" s="2"/>
      <c r="AM19" s="2"/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</row>
    <row r="20" spans="1:61">
      <c r="A20" s="2"/>
      <c r="B20" s="62">
        <v>16</v>
      </c>
      <c r="C20" s="63">
        <f t="shared" ca="1" si="3"/>
        <v>1344.0165271251085</v>
      </c>
      <c r="D20" s="63">
        <f t="shared" ca="1" si="0"/>
        <v>9723.2359285696657</v>
      </c>
      <c r="E20" s="63">
        <f t="shared" ca="1" si="1"/>
        <v>8379.2194014445577</v>
      </c>
      <c r="F20" s="63">
        <f t="shared" ca="1" si="2"/>
        <v>72261.772226061948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  <c r="AK20" s="2"/>
      <c r="AL20" s="2"/>
      <c r="AM20" s="2"/>
      <c r="AN20" s="2"/>
      <c r="AO20" s="2"/>
      <c r="AP20" s="2"/>
      <c r="AQ20" s="2"/>
      <c r="AR20" s="2"/>
      <c r="AS20" s="2"/>
      <c r="AT20" s="2"/>
      <c r="AU20" s="2"/>
      <c r="AV20" s="2"/>
      <c r="AW20" s="2"/>
      <c r="AX20" s="2"/>
      <c r="AY20" s="2"/>
      <c r="AZ20" s="2"/>
      <c r="BA20" s="2"/>
      <c r="BB20" s="2"/>
      <c r="BC20" s="2"/>
      <c r="BD20" s="2"/>
      <c r="BE20" s="2"/>
      <c r="BF20" s="2"/>
      <c r="BG20" s="2"/>
      <c r="BH20" s="2"/>
      <c r="BI20" s="2"/>
    </row>
    <row r="21" spans="1:61">
      <c r="A21" s="2"/>
      <c r="B21" s="65">
        <v>17</v>
      </c>
      <c r="C21" s="66">
        <f t="shared" ca="1" si="3"/>
        <v>1204.362870434366</v>
      </c>
      <c r="D21" s="66">
        <f t="shared" ca="1" si="0"/>
        <v>9723.2359285696657</v>
      </c>
      <c r="E21" s="66">
        <f t="shared" ca="1" si="1"/>
        <v>8518.8730581352993</v>
      </c>
      <c r="F21" s="66">
        <f t="shared" ca="1" si="2"/>
        <v>63742.899167926647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2"/>
      <c r="AL21" s="2"/>
      <c r="AM21" s="2"/>
      <c r="AN21" s="2"/>
      <c r="AO21" s="2"/>
      <c r="AP21" s="2"/>
      <c r="AQ21" s="2"/>
      <c r="AR21" s="2"/>
      <c r="AS21" s="2"/>
      <c r="AT21" s="2"/>
      <c r="AU21" s="2"/>
      <c r="AV21" s="2"/>
      <c r="AW21" s="2"/>
      <c r="AX21" s="2"/>
      <c r="AY21" s="2"/>
      <c r="AZ21" s="2"/>
      <c r="BA21" s="2"/>
      <c r="BB21" s="2"/>
      <c r="BC21" s="2"/>
      <c r="BD21" s="2"/>
      <c r="BE21" s="2"/>
      <c r="BF21" s="2"/>
      <c r="BG21" s="2"/>
      <c r="BH21" s="2"/>
      <c r="BI21" s="2"/>
    </row>
    <row r="22" spans="1:61">
      <c r="A22" s="2"/>
      <c r="B22" s="62">
        <v>18</v>
      </c>
      <c r="C22" s="63">
        <f t="shared" ca="1" si="3"/>
        <v>1062.3816527987774</v>
      </c>
      <c r="D22" s="63">
        <f t="shared" ca="1" si="0"/>
        <v>9723.2359285696657</v>
      </c>
      <c r="E22" s="63">
        <f t="shared" ca="1" si="1"/>
        <v>8660.8542757708892</v>
      </c>
      <c r="F22" s="63">
        <f t="shared" ca="1" si="2"/>
        <v>55082.044892155754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"/>
      <c r="AM22" s="2"/>
      <c r="AN22" s="2"/>
      <c r="AO22" s="2"/>
      <c r="AP22" s="2"/>
      <c r="AQ22" s="2"/>
      <c r="AR22" s="2"/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</row>
    <row r="23" spans="1:61">
      <c r="A23" s="2"/>
      <c r="B23" s="65">
        <v>19</v>
      </c>
      <c r="C23" s="66">
        <f t="shared" ca="1" si="3"/>
        <v>918.0340815359292</v>
      </c>
      <c r="D23" s="66">
        <f t="shared" ca="1" si="0"/>
        <v>9723.2359285696657</v>
      </c>
      <c r="E23" s="66">
        <f t="shared" ca="1" si="1"/>
        <v>8805.2018470337371</v>
      </c>
      <c r="F23" s="66">
        <f t="shared" ca="1" si="2"/>
        <v>46276.843045122019</v>
      </c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  <c r="AK23" s="2"/>
      <c r="AL23" s="2"/>
      <c r="AM23" s="2"/>
      <c r="AN23" s="2"/>
      <c r="AO23" s="2"/>
      <c r="AP23" s="2"/>
      <c r="AQ23" s="2"/>
      <c r="AR23" s="2"/>
      <c r="AS23" s="2"/>
      <c r="AT23" s="2"/>
      <c r="AU23" s="2"/>
      <c r="AV23" s="2"/>
      <c r="AW23" s="2"/>
      <c r="AX23" s="2"/>
      <c r="AY23" s="2"/>
      <c r="AZ23" s="2"/>
      <c r="BA23" s="2"/>
      <c r="BB23" s="2"/>
      <c r="BC23" s="2"/>
      <c r="BD23" s="2"/>
      <c r="BE23" s="2"/>
      <c r="BF23" s="2"/>
      <c r="BG23" s="2"/>
      <c r="BH23" s="2"/>
      <c r="BI23" s="2"/>
    </row>
    <row r="24" spans="1:61">
      <c r="A24" s="2"/>
      <c r="B24" s="62">
        <v>20</v>
      </c>
      <c r="C24" s="63">
        <f t="shared" ca="1" si="3"/>
        <v>771.28071741870042</v>
      </c>
      <c r="D24" s="63">
        <f t="shared" ca="1" si="0"/>
        <v>9723.2359285696657</v>
      </c>
      <c r="E24" s="63">
        <f t="shared" ca="1" si="1"/>
        <v>8951.9552111509656</v>
      </c>
      <c r="F24" s="63">
        <f t="shared" ca="1" si="2"/>
        <v>37324.88783397105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"/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</row>
    <row r="25" spans="1:61">
      <c r="A25" s="2"/>
      <c r="B25" s="65">
        <v>21</v>
      </c>
      <c r="C25" s="66">
        <f t="shared" ca="1" si="3"/>
        <v>622.08146389951753</v>
      </c>
      <c r="D25" s="66">
        <f t="shared" ca="1" si="0"/>
        <v>9723.2359285696657</v>
      </c>
      <c r="E25" s="66">
        <f t="shared" ca="1" si="1"/>
        <v>9101.1544646701477</v>
      </c>
      <c r="F25" s="66">
        <f t="shared" ca="1" si="2"/>
        <v>28223.733369300902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"/>
      <c r="AV25" s="2"/>
      <c r="AW25" s="2"/>
      <c r="AX25" s="2"/>
      <c r="AY25" s="2"/>
      <c r="AZ25" s="2"/>
      <c r="BA25" s="2"/>
      <c r="BB25" s="2"/>
      <c r="BC25" s="2"/>
      <c r="BD25" s="2"/>
      <c r="BE25" s="2"/>
      <c r="BF25" s="2"/>
      <c r="BG25" s="2"/>
      <c r="BH25" s="2"/>
      <c r="BI25" s="2"/>
    </row>
    <row r="26" spans="1:61">
      <c r="A26" s="2"/>
      <c r="B26" s="62">
        <v>22</v>
      </c>
      <c r="C26" s="63">
        <f t="shared" ca="1" si="3"/>
        <v>470.39555615501507</v>
      </c>
      <c r="D26" s="63">
        <f t="shared" ca="1" si="0"/>
        <v>9723.2359285696657</v>
      </c>
      <c r="E26" s="63">
        <f t="shared" ca="1" si="1"/>
        <v>9252.8403724146501</v>
      </c>
      <c r="F26" s="63">
        <f t="shared" ca="1" si="2"/>
        <v>18970.89299688625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2"/>
      <c r="AL26" s="2"/>
      <c r="AM26" s="2"/>
      <c r="AN26" s="2"/>
      <c r="AO26" s="2"/>
      <c r="AP26" s="2"/>
      <c r="AQ26" s="2"/>
      <c r="AR26" s="2"/>
      <c r="AS26" s="2"/>
      <c r="AT26" s="2"/>
      <c r="AU26" s="2"/>
      <c r="AV26" s="2"/>
      <c r="AW26" s="2"/>
      <c r="AX26" s="2"/>
      <c r="AY26" s="2"/>
      <c r="AZ26" s="2"/>
      <c r="BA26" s="2"/>
      <c r="BB26" s="2"/>
      <c r="BC26" s="2"/>
      <c r="BD26" s="2"/>
      <c r="BE26" s="2"/>
      <c r="BF26" s="2"/>
      <c r="BG26" s="2"/>
      <c r="BH26" s="2"/>
      <c r="BI26" s="2"/>
    </row>
    <row r="27" spans="1:61">
      <c r="A27" s="2"/>
      <c r="B27" s="65">
        <v>23</v>
      </c>
      <c r="C27" s="66">
        <f t="shared" ca="1" si="3"/>
        <v>316.18154994810419</v>
      </c>
      <c r="D27" s="66">
        <f t="shared" ca="1" si="0"/>
        <v>9723.2359285696657</v>
      </c>
      <c r="E27" s="66">
        <f t="shared" ca="1" si="1"/>
        <v>9407.0543786215621</v>
      </c>
      <c r="F27" s="66">
        <f t="shared" ca="1" si="2"/>
        <v>9563.8386182646882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  <c r="AK27" s="2"/>
      <c r="AL27" s="2"/>
      <c r="AM27" s="2"/>
      <c r="AN27" s="2"/>
      <c r="AO27" s="2"/>
      <c r="AP27" s="2"/>
      <c r="AQ27" s="2"/>
      <c r="AR27" s="2"/>
      <c r="AS27" s="2"/>
      <c r="AT27" s="2"/>
      <c r="AU27" s="2"/>
      <c r="AV27" s="2"/>
      <c r="AW27" s="2"/>
      <c r="AX27" s="2"/>
      <c r="AY27" s="2"/>
      <c r="AZ27" s="2"/>
      <c r="BA27" s="2"/>
      <c r="BB27" s="2"/>
      <c r="BC27" s="2"/>
      <c r="BD27" s="2"/>
      <c r="BE27" s="2"/>
      <c r="BF27" s="2"/>
      <c r="BG27" s="2"/>
      <c r="BH27" s="2"/>
      <c r="BI27" s="2"/>
    </row>
    <row r="28" spans="1:61">
      <c r="A28" s="2"/>
      <c r="B28" s="62">
        <v>24</v>
      </c>
      <c r="C28" s="63">
        <f t="shared" ca="1" si="3"/>
        <v>159.39731030441146</v>
      </c>
      <c r="D28" s="63">
        <f t="shared" ca="1" si="0"/>
        <v>9723.2359285696657</v>
      </c>
      <c r="E28" s="63">
        <f t="shared" ca="1" si="1"/>
        <v>9563.8386182652539</v>
      </c>
      <c r="F28" s="63">
        <f t="shared" ca="1" si="2"/>
        <v>-5.6570570450276136E-10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"/>
      <c r="AM28" s="2"/>
      <c r="AN28" s="2"/>
      <c r="AO28" s="2"/>
      <c r="AP28" s="2"/>
      <c r="AQ28" s="2"/>
      <c r="AR28" s="2"/>
      <c r="AS28" s="2"/>
      <c r="AT28" s="2"/>
      <c r="AU28" s="2"/>
      <c r="AV28" s="2"/>
      <c r="AW28" s="2"/>
      <c r="AX28" s="2"/>
      <c r="AY28" s="2"/>
      <c r="AZ28" s="2"/>
      <c r="BA28" s="2"/>
      <c r="BB28" s="2"/>
      <c r="BC28" s="2"/>
      <c r="BD28" s="2"/>
      <c r="BE28" s="2"/>
      <c r="BF28" s="2"/>
      <c r="BG28" s="2"/>
      <c r="BH28" s="2"/>
      <c r="BI28" s="2"/>
    </row>
    <row r="29" spans="1:61">
      <c r="A29" s="2"/>
      <c r="B29" s="65">
        <v>25</v>
      </c>
      <c r="C29" s="66">
        <f t="shared" ca="1" si="3"/>
        <v>-9.4284284083793565E-12</v>
      </c>
      <c r="D29" s="66">
        <f t="shared" si="0"/>
        <v>0</v>
      </c>
      <c r="E29" s="66">
        <f t="shared" ca="1" si="1"/>
        <v>9.4284284083793565E-12</v>
      </c>
      <c r="F29" s="66">
        <f t="shared" ca="1" si="2"/>
        <v>-5.7513413291114073E-10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  <c r="AK29" s="2"/>
      <c r="AL29" s="2"/>
      <c r="AM29" s="2"/>
      <c r="AN29" s="2"/>
      <c r="AO29" s="2"/>
      <c r="AP29" s="2"/>
      <c r="AQ29" s="2"/>
      <c r="AR29" s="2"/>
      <c r="AS29" s="2"/>
      <c r="AT29" s="2"/>
      <c r="AU29" s="2"/>
      <c r="AV29" s="2"/>
      <c r="AW29" s="2"/>
      <c r="AX29" s="2"/>
      <c r="AY29" s="2"/>
      <c r="AZ29" s="2"/>
      <c r="BA29" s="2"/>
      <c r="BB29" s="2"/>
      <c r="BC29" s="2"/>
      <c r="BD29" s="2"/>
      <c r="BE29" s="2"/>
      <c r="BF29" s="2"/>
      <c r="BG29" s="2"/>
      <c r="BH29" s="2"/>
      <c r="BI29" s="2"/>
    </row>
    <row r="30" spans="1:61">
      <c r="A30" s="2"/>
      <c r="B30" s="62">
        <v>26</v>
      </c>
      <c r="C30" s="63">
        <f t="shared" ca="1" si="3"/>
        <v>-9.5855688818523461E-12</v>
      </c>
      <c r="D30" s="63">
        <f t="shared" si="0"/>
        <v>0</v>
      </c>
      <c r="E30" s="63">
        <f t="shared" ca="1" si="1"/>
        <v>9.5855688818523461E-12</v>
      </c>
      <c r="F30" s="63">
        <f t="shared" ca="1" si="2"/>
        <v>-5.8471970179299311E-10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  <c r="AV30" s="2"/>
      <c r="AW30" s="2"/>
      <c r="AX30" s="2"/>
      <c r="AY30" s="2"/>
      <c r="AZ30" s="2"/>
      <c r="BA30" s="2"/>
      <c r="BB30" s="2"/>
      <c r="BC30" s="2"/>
      <c r="BD30" s="2"/>
      <c r="BE30" s="2"/>
      <c r="BF30" s="2"/>
      <c r="BG30" s="2"/>
      <c r="BH30" s="2"/>
      <c r="BI30" s="2"/>
    </row>
    <row r="31" spans="1:61">
      <c r="A31" s="2"/>
      <c r="B31" s="65">
        <v>27</v>
      </c>
      <c r="C31" s="66">
        <f t="shared" ca="1" si="3"/>
        <v>-9.7453283632165528E-12</v>
      </c>
      <c r="D31" s="66">
        <f t="shared" si="0"/>
        <v>0</v>
      </c>
      <c r="E31" s="66">
        <f t="shared" ca="1" si="1"/>
        <v>9.7453283632165528E-12</v>
      </c>
      <c r="F31" s="66">
        <f t="shared" ca="1" si="2"/>
        <v>-5.9446503015620965E-10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2"/>
      <c r="AL31" s="2"/>
      <c r="AM31" s="2"/>
      <c r="AN31" s="2"/>
      <c r="AO31" s="2"/>
      <c r="AP31" s="2"/>
      <c r="AQ31" s="2"/>
      <c r="AR31" s="2"/>
      <c r="AS31" s="2"/>
      <c r="AT31" s="2"/>
      <c r="AU31" s="2"/>
      <c r="AV31" s="2"/>
      <c r="AW31" s="2"/>
      <c r="AX31" s="2"/>
      <c r="AY31" s="2"/>
      <c r="AZ31" s="2"/>
      <c r="BA31" s="2"/>
      <c r="BB31" s="2"/>
      <c r="BC31" s="2"/>
      <c r="BD31" s="2"/>
      <c r="BE31" s="2"/>
      <c r="BF31" s="2"/>
      <c r="BG31" s="2"/>
      <c r="BH31" s="2"/>
      <c r="BI31" s="2"/>
    </row>
    <row r="32" spans="1:61">
      <c r="A32" s="2"/>
      <c r="B32" s="62">
        <v>28</v>
      </c>
      <c r="C32" s="63">
        <f t="shared" ca="1" si="3"/>
        <v>-9.9077505026034944E-12</v>
      </c>
      <c r="D32" s="63">
        <f t="shared" si="0"/>
        <v>0</v>
      </c>
      <c r="E32" s="63">
        <f t="shared" ca="1" si="1"/>
        <v>9.9077505026034944E-12</v>
      </c>
      <c r="F32" s="63">
        <f t="shared" ca="1" si="2"/>
        <v>-6.043727806588131E-10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  <c r="AK32" s="2"/>
      <c r="AL32" s="2"/>
      <c r="AM32" s="2"/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"/>
      <c r="AY32" s="2"/>
      <c r="AZ32" s="2"/>
      <c r="BA32" s="2"/>
      <c r="BB32" s="2"/>
      <c r="BC32" s="2"/>
      <c r="BD32" s="2"/>
      <c r="BE32" s="2"/>
      <c r="BF32" s="2"/>
      <c r="BG32" s="2"/>
      <c r="BH32" s="2"/>
      <c r="BI32" s="2"/>
    </row>
    <row r="33" spans="1:61">
      <c r="A33" s="2"/>
      <c r="B33" s="65">
        <v>29</v>
      </c>
      <c r="C33" s="66">
        <f t="shared" ca="1" si="3"/>
        <v>-1.0072879677646885E-11</v>
      </c>
      <c r="D33" s="66">
        <f t="shared" si="0"/>
        <v>0</v>
      </c>
      <c r="E33" s="66">
        <f t="shared" ca="1" si="1"/>
        <v>1.0072879677646885E-11</v>
      </c>
      <c r="F33" s="66">
        <f t="shared" ca="1" si="2"/>
        <v>-6.1444566033645994E-10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  <c r="AK33" s="2"/>
      <c r="AL33" s="2"/>
      <c r="AM33" s="2"/>
      <c r="AN33" s="2"/>
      <c r="AO33" s="2"/>
      <c r="AP33" s="2"/>
      <c r="AQ33" s="2"/>
      <c r="AR33" s="2"/>
      <c r="AS33" s="2"/>
      <c r="AT33" s="2"/>
      <c r="AU33" s="2"/>
      <c r="AV33" s="2"/>
      <c r="AW33" s="2"/>
      <c r="AX33" s="2"/>
      <c r="AY33" s="2"/>
      <c r="AZ33" s="2"/>
      <c r="BA33" s="2"/>
      <c r="BB33" s="2"/>
      <c r="BC33" s="2"/>
      <c r="BD33" s="2"/>
      <c r="BE33" s="2"/>
      <c r="BF33" s="2"/>
      <c r="BG33" s="2"/>
      <c r="BH33" s="2"/>
      <c r="BI33" s="2"/>
    </row>
    <row r="34" spans="1:61">
      <c r="A34" s="2"/>
      <c r="B34" s="62">
        <v>30</v>
      </c>
      <c r="C34" s="63">
        <f t="shared" ca="1" si="3"/>
        <v>-1.0240761005607666E-11</v>
      </c>
      <c r="D34" s="63">
        <f t="shared" si="0"/>
        <v>0</v>
      </c>
      <c r="E34" s="63">
        <f t="shared" ca="1" si="1"/>
        <v>1.0240761005607666E-11</v>
      </c>
      <c r="F34" s="63">
        <f t="shared" ca="1" si="2"/>
        <v>-6.2468642134206758E-10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  <c r="AK34" s="2"/>
      <c r="AL34" s="2"/>
      <c r="AM34" s="2"/>
      <c r="AN34" s="2"/>
      <c r="AO34" s="2"/>
      <c r="AP34" s="2"/>
      <c r="AQ34" s="2"/>
      <c r="AR34" s="2"/>
      <c r="AS34" s="2"/>
      <c r="AT34" s="2"/>
      <c r="AU34" s="2"/>
      <c r="AV34" s="2"/>
      <c r="AW34" s="2"/>
      <c r="AX34" s="2"/>
      <c r="AY34" s="2"/>
      <c r="AZ34" s="2"/>
      <c r="BA34" s="2"/>
      <c r="BB34" s="2"/>
      <c r="BC34" s="2"/>
      <c r="BD34" s="2"/>
      <c r="BE34" s="2"/>
      <c r="BF34" s="2"/>
      <c r="BG34" s="2"/>
      <c r="BH34" s="2"/>
      <c r="BI34" s="2"/>
    </row>
    <row r="35" spans="1:61">
      <c r="A35" s="2"/>
      <c r="B35" s="65">
        <v>31</v>
      </c>
      <c r="C35" s="66">
        <f t="shared" ca="1" si="3"/>
        <v>-1.0411440355701128E-11</v>
      </c>
      <c r="D35" s="66">
        <f t="shared" si="0"/>
        <v>0</v>
      </c>
      <c r="E35" s="66">
        <f t="shared" ca="1" si="1"/>
        <v>1.0411440355701128E-11</v>
      </c>
      <c r="F35" s="66">
        <f t="shared" ca="1" si="2"/>
        <v>-6.3509786169776876E-10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  <c r="AK35" s="2"/>
      <c r="AL35" s="2"/>
      <c r="AM35" s="2"/>
      <c r="AN35" s="2"/>
      <c r="AO35" s="2"/>
      <c r="AP35" s="2"/>
      <c r="AQ35" s="2"/>
      <c r="AR35" s="2"/>
      <c r="AS35" s="2"/>
      <c r="AT35" s="2"/>
      <c r="AU35" s="2"/>
      <c r="AV35" s="2"/>
      <c r="AW35" s="2"/>
      <c r="AX35" s="2"/>
      <c r="AY35" s="2"/>
      <c r="AZ35" s="2"/>
      <c r="BA35" s="2"/>
      <c r="BB35" s="2"/>
      <c r="BC35" s="2"/>
      <c r="BD35" s="2"/>
      <c r="BE35" s="2"/>
      <c r="BF35" s="2"/>
      <c r="BG35" s="2"/>
      <c r="BH35" s="2"/>
      <c r="BI35" s="2"/>
    </row>
    <row r="36" spans="1:61">
      <c r="A36" s="2"/>
      <c r="B36" s="62">
        <v>32</v>
      </c>
      <c r="C36" s="63">
        <f t="shared" ca="1" si="3"/>
        <v>-1.058496436162948E-11</v>
      </c>
      <c r="D36" s="63">
        <f t="shared" si="0"/>
        <v>0</v>
      </c>
      <c r="E36" s="63">
        <f t="shared" ca="1" si="1"/>
        <v>1.058496436162948E-11</v>
      </c>
      <c r="F36" s="63">
        <f t="shared" ca="1" si="2"/>
        <v>-6.4568282605939819E-10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2"/>
      <c r="AL36" s="2"/>
      <c r="AM36" s="2"/>
      <c r="AN36" s="2"/>
      <c r="AO36" s="2"/>
      <c r="AP36" s="2"/>
      <c r="AQ36" s="2"/>
      <c r="AR36" s="2"/>
      <c r="AS36" s="2"/>
      <c r="AT36" s="2"/>
      <c r="AU36" s="2"/>
      <c r="AV36" s="2"/>
      <c r="AW36" s="2"/>
      <c r="AX36" s="2"/>
      <c r="AY36" s="2"/>
      <c r="AZ36" s="2"/>
      <c r="BA36" s="2"/>
      <c r="BB36" s="2"/>
      <c r="BC36" s="2"/>
      <c r="BD36" s="2"/>
      <c r="BE36" s="2"/>
      <c r="BF36" s="2"/>
      <c r="BG36" s="2"/>
      <c r="BH36" s="2"/>
      <c r="BI36" s="2"/>
    </row>
    <row r="37" spans="1:61">
      <c r="A37" s="2"/>
      <c r="B37" s="65">
        <v>33</v>
      </c>
      <c r="C37" s="66">
        <f t="shared" ca="1" si="3"/>
        <v>-1.0761380434323303E-11</v>
      </c>
      <c r="D37" s="66">
        <f t="shared" si="0"/>
        <v>0</v>
      </c>
      <c r="E37" s="66">
        <f t="shared" ca="1" si="1"/>
        <v>1.0761380434323303E-11</v>
      </c>
      <c r="F37" s="66">
        <f t="shared" ca="1" si="2"/>
        <v>-6.5644420649372148E-10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  <c r="AK37" s="2"/>
      <c r="AL37" s="2"/>
      <c r="AM37" s="2"/>
      <c r="AN37" s="2"/>
      <c r="AO37" s="2"/>
      <c r="AP37" s="2"/>
      <c r="AQ37" s="2"/>
      <c r="AR37" s="2"/>
      <c r="AS37" s="2"/>
      <c r="AT37" s="2"/>
      <c r="AU37" s="2"/>
      <c r="AV37" s="2"/>
      <c r="AW37" s="2"/>
      <c r="AX37" s="2"/>
      <c r="AY37" s="2"/>
      <c r="AZ37" s="2"/>
      <c r="BA37" s="2"/>
      <c r="BB37" s="2"/>
      <c r="BC37" s="2"/>
      <c r="BD37" s="2"/>
      <c r="BE37" s="2"/>
      <c r="BF37" s="2"/>
      <c r="BG37" s="2"/>
      <c r="BH37" s="2"/>
      <c r="BI37" s="2"/>
    </row>
    <row r="38" spans="1:61">
      <c r="A38" s="2"/>
      <c r="B38" s="62">
        <v>34</v>
      </c>
      <c r="C38" s="63">
        <f t="shared" ca="1" si="3"/>
        <v>-1.0940736774895359E-11</v>
      </c>
      <c r="D38" s="63">
        <f t="shared" si="0"/>
        <v>0</v>
      </c>
      <c r="E38" s="63">
        <f t="shared" ca="1" si="1"/>
        <v>1.0940736774895359E-11</v>
      </c>
      <c r="F38" s="63">
        <f t="shared" ca="1" si="2"/>
        <v>-6.6738494326861681E-10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  <c r="AK38" s="2"/>
      <c r="AL38" s="2"/>
      <c r="AM38" s="2"/>
      <c r="AN38" s="2"/>
      <c r="AO38" s="2"/>
      <c r="AP38" s="2"/>
      <c r="AQ38" s="2"/>
      <c r="AR38" s="2"/>
      <c r="AS38" s="2"/>
      <c r="AT38" s="2"/>
      <c r="AU38" s="2"/>
      <c r="AV38" s="2"/>
      <c r="AW38" s="2"/>
      <c r="AX38" s="2"/>
      <c r="AY38" s="2"/>
      <c r="AZ38" s="2"/>
      <c r="BA38" s="2"/>
      <c r="BB38" s="2"/>
      <c r="BC38" s="2"/>
      <c r="BD38" s="2"/>
      <c r="BE38" s="2"/>
      <c r="BF38" s="2"/>
      <c r="BG38" s="2"/>
      <c r="BH38" s="2"/>
      <c r="BI38" s="2"/>
    </row>
    <row r="39" spans="1:61">
      <c r="A39" s="2"/>
      <c r="B39" s="65">
        <v>35</v>
      </c>
      <c r="C39" s="66">
        <f t="shared" ca="1" si="3"/>
        <v>-1.112308238781028E-11</v>
      </c>
      <c r="D39" s="66">
        <f t="shared" si="0"/>
        <v>0</v>
      </c>
      <c r="E39" s="66">
        <f t="shared" ca="1" si="1"/>
        <v>1.112308238781028E-11</v>
      </c>
      <c r="F39" s="66">
        <f t="shared" ca="1" si="2"/>
        <v>-6.7850802565642712E-10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</row>
    <row r="40" spans="1:61">
      <c r="A40" s="2"/>
      <c r="B40" s="62">
        <v>36</v>
      </c>
      <c r="C40" s="63">
        <f t="shared" ca="1" si="3"/>
        <v>-1.1308467094273785E-11</v>
      </c>
      <c r="D40" s="63">
        <f t="shared" si="0"/>
        <v>0</v>
      </c>
      <c r="E40" s="63">
        <f t="shared" ca="1" si="1"/>
        <v>1.1308467094273785E-11</v>
      </c>
      <c r="F40" s="63">
        <f ca="1">F39-E40</f>
        <v>-6.8981649275070091E-10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  <c r="AK40" s="2"/>
      <c r="AL40" s="2"/>
      <c r="AM40" s="2"/>
      <c r="AN40" s="2"/>
      <c r="AO40" s="2"/>
      <c r="AP40" s="2"/>
      <c r="AQ40" s="2"/>
      <c r="AR40" s="2"/>
      <c r="AS40" s="2"/>
      <c r="AT40" s="2"/>
      <c r="AU40" s="2"/>
      <c r="AV40" s="2"/>
      <c r="AW40" s="2"/>
      <c r="AX40" s="2"/>
      <c r="AY40" s="2"/>
      <c r="AZ40" s="2"/>
      <c r="BA40" s="2"/>
      <c r="BB40" s="2"/>
      <c r="BC40" s="2"/>
      <c r="BD40" s="2"/>
      <c r="BE40" s="2"/>
      <c r="BF40" s="2"/>
      <c r="BG40" s="2"/>
      <c r="BH40" s="2"/>
      <c r="BI40" s="2"/>
    </row>
    <row r="41" spans="1:61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"/>
      <c r="AQ41" s="2"/>
      <c r="AR41" s="2"/>
      <c r="AS41" s="2"/>
      <c r="AT41" s="2"/>
      <c r="AU41" s="2"/>
      <c r="AV41" s="2"/>
      <c r="AW41" s="2"/>
      <c r="AX41" s="2"/>
      <c r="AY41" s="2"/>
      <c r="AZ41" s="2"/>
      <c r="BA41" s="2"/>
      <c r="BB41" s="2"/>
      <c r="BC41" s="2"/>
      <c r="BD41" s="2"/>
      <c r="BE41" s="2"/>
      <c r="BF41" s="2"/>
      <c r="BG41" s="2"/>
      <c r="BH41" s="2"/>
      <c r="BI41" s="2"/>
    </row>
    <row r="42" spans="1:61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  <c r="AK42" s="2"/>
      <c r="AL42" s="2"/>
      <c r="AM42" s="2"/>
      <c r="AN42" s="2"/>
      <c r="AO42" s="2"/>
      <c r="AP42" s="2"/>
      <c r="AQ42" s="2"/>
      <c r="AR42" s="2"/>
      <c r="AS42" s="2"/>
      <c r="AT42" s="2"/>
      <c r="AU42" s="2"/>
      <c r="AV42" s="2"/>
      <c r="AW42" s="2"/>
      <c r="AX42" s="2"/>
      <c r="AY42" s="2"/>
      <c r="AZ42" s="2"/>
      <c r="BA42" s="2"/>
      <c r="BB42" s="2"/>
      <c r="BC42" s="2"/>
      <c r="BD42" s="2"/>
      <c r="BE42" s="2"/>
      <c r="BF42" s="2"/>
      <c r="BG42" s="2"/>
      <c r="BH42" s="2"/>
      <c r="BI42" s="2"/>
    </row>
    <row r="43" spans="1:61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</row>
    <row r="44" spans="1:61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"/>
      <c r="AV44" s="2"/>
      <c r="AW44" s="2"/>
      <c r="AX44" s="2"/>
      <c r="AY44" s="2"/>
      <c r="AZ44" s="2"/>
      <c r="BA44" s="2"/>
      <c r="BB44" s="2"/>
      <c r="BC44" s="2"/>
      <c r="BD44" s="2"/>
      <c r="BE44" s="2"/>
      <c r="BF44" s="2"/>
      <c r="BG44" s="2"/>
      <c r="BH44" s="2"/>
      <c r="BI44" s="2"/>
    </row>
    <row r="45" spans="1:61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  <c r="AK45" s="2"/>
      <c r="AL45" s="2"/>
      <c r="AM45" s="2"/>
      <c r="AN45" s="2"/>
      <c r="AO45" s="2"/>
      <c r="AP45" s="2"/>
      <c r="AQ45" s="2"/>
      <c r="AR45" s="2"/>
      <c r="AS45" s="2"/>
      <c r="AT45" s="2"/>
      <c r="AU45" s="2"/>
      <c r="AV45" s="2"/>
      <c r="AW45" s="2"/>
      <c r="AX45" s="2"/>
      <c r="AY45" s="2"/>
      <c r="AZ45" s="2"/>
      <c r="BA45" s="2"/>
      <c r="BB45" s="2"/>
      <c r="BC45" s="2"/>
      <c r="BD45" s="2"/>
      <c r="BE45" s="2"/>
      <c r="BF45" s="2"/>
      <c r="BG45" s="2"/>
      <c r="BH45" s="2"/>
      <c r="BI45" s="2"/>
    </row>
    <row r="46" spans="1:61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2"/>
      <c r="AL46" s="2"/>
      <c r="AM46" s="2"/>
      <c r="AN46" s="2"/>
      <c r="AO46" s="2"/>
      <c r="AP46" s="2"/>
      <c r="AQ46" s="2"/>
      <c r="AR46" s="2"/>
      <c r="AS46" s="2"/>
      <c r="AT46" s="2"/>
      <c r="AU46" s="2"/>
      <c r="AV46" s="2"/>
      <c r="AW46" s="2"/>
      <c r="AX46" s="2"/>
      <c r="AY46" s="2"/>
      <c r="AZ46" s="2"/>
      <c r="BA46" s="2"/>
      <c r="BB46" s="2"/>
      <c r="BC46" s="2"/>
      <c r="BD46" s="2"/>
      <c r="BE46" s="2"/>
      <c r="BF46" s="2"/>
      <c r="BG46" s="2"/>
      <c r="BH46" s="2"/>
      <c r="BI46" s="2"/>
    </row>
    <row r="47" spans="1:61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</row>
    <row r="48" spans="1:61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"/>
      <c r="AM48" s="2"/>
      <c r="AN48" s="2"/>
      <c r="AO48" s="2"/>
      <c r="AP48" s="2"/>
      <c r="AQ48" s="2"/>
      <c r="AR48" s="2"/>
      <c r="AS48" s="2"/>
      <c r="AT48" s="2"/>
      <c r="AU48" s="2"/>
      <c r="AV48" s="2"/>
      <c r="AW48" s="2"/>
      <c r="AX48" s="2"/>
      <c r="AY48" s="2"/>
      <c r="AZ48" s="2"/>
      <c r="BA48" s="2"/>
      <c r="BB48" s="2"/>
      <c r="BC48" s="2"/>
      <c r="BD48" s="2"/>
      <c r="BE48" s="2"/>
      <c r="BF48" s="2"/>
      <c r="BG48" s="2"/>
      <c r="BH48" s="2"/>
      <c r="BI48" s="2"/>
    </row>
    <row r="49" spans="1:61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  <c r="AK49" s="2"/>
      <c r="AL49" s="2"/>
      <c r="AM49" s="2"/>
      <c r="AN49" s="2"/>
      <c r="AO49" s="2"/>
      <c r="AP49" s="2"/>
      <c r="AQ49" s="2"/>
      <c r="AR49" s="2"/>
      <c r="AS49" s="2"/>
      <c r="AT49" s="2"/>
      <c r="AU49" s="2"/>
      <c r="AV49" s="2"/>
      <c r="AW49" s="2"/>
      <c r="AX49" s="2"/>
      <c r="AY49" s="2"/>
      <c r="AZ49" s="2"/>
      <c r="BA49" s="2"/>
      <c r="BB49" s="2"/>
      <c r="BC49" s="2"/>
      <c r="BD49" s="2"/>
      <c r="BE49" s="2"/>
      <c r="BF49" s="2"/>
      <c r="BG49" s="2"/>
      <c r="BH49" s="2"/>
      <c r="BI49" s="2"/>
    </row>
    <row r="50" spans="1:61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</row>
    <row r="51" spans="1:61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"/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</row>
    <row r="52" spans="1:61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  <c r="AK52" s="2"/>
      <c r="AL52" s="2"/>
      <c r="AM52" s="2"/>
      <c r="AN52" s="2"/>
      <c r="AO52" s="2"/>
      <c r="AP52" s="2"/>
      <c r="AQ52" s="2"/>
      <c r="AR52" s="2"/>
      <c r="AS52" s="2"/>
      <c r="AT52" s="2"/>
      <c r="AU52" s="2"/>
      <c r="AV52" s="2"/>
      <c r="AW52" s="2"/>
      <c r="AX52" s="2"/>
      <c r="AY52" s="2"/>
      <c r="AZ52" s="2"/>
      <c r="BA52" s="2"/>
      <c r="BB52" s="2"/>
      <c r="BC52" s="2"/>
      <c r="BD52" s="2"/>
      <c r="BE52" s="2"/>
      <c r="BF52" s="2"/>
      <c r="BG52" s="2"/>
      <c r="BH52" s="2"/>
      <c r="BI52" s="2"/>
    </row>
    <row r="53" spans="1:61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  <c r="AK53" s="2"/>
      <c r="AL53" s="2"/>
      <c r="AM53" s="2"/>
      <c r="AN53" s="2"/>
      <c r="AO53" s="2"/>
      <c r="AP53" s="2"/>
      <c r="AQ53" s="2"/>
      <c r="AR53" s="2"/>
      <c r="AS53" s="2"/>
      <c r="AT53" s="2"/>
      <c r="AU53" s="2"/>
      <c r="AV53" s="2"/>
      <c r="AW53" s="2"/>
      <c r="AX53" s="2"/>
      <c r="AY53" s="2"/>
      <c r="AZ53" s="2"/>
      <c r="BA53" s="2"/>
      <c r="BB53" s="2"/>
      <c r="BC53" s="2"/>
      <c r="BD53" s="2"/>
      <c r="BE53" s="2"/>
      <c r="BF53" s="2"/>
      <c r="BG53" s="2"/>
      <c r="BH53" s="2"/>
      <c r="BI53" s="2"/>
    </row>
    <row r="54" spans="1:61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  <c r="AK54" s="2"/>
      <c r="AL54" s="2"/>
      <c r="AM54" s="2"/>
      <c r="AN54" s="2"/>
      <c r="AO54" s="2"/>
      <c r="AP54" s="2"/>
      <c r="AQ54" s="2"/>
      <c r="AR54" s="2"/>
      <c r="AS54" s="2"/>
      <c r="AT54" s="2"/>
      <c r="AU54" s="2"/>
      <c r="AV54" s="2"/>
      <c r="AW54" s="2"/>
      <c r="AX54" s="2"/>
      <c r="AY54" s="2"/>
      <c r="AZ54" s="2"/>
      <c r="BA54" s="2"/>
      <c r="BB54" s="2"/>
      <c r="BC54" s="2"/>
      <c r="BD54" s="2"/>
      <c r="BE54" s="2"/>
      <c r="BF54" s="2"/>
      <c r="BG54" s="2"/>
      <c r="BH54" s="2"/>
      <c r="BI54" s="2"/>
    </row>
    <row r="55" spans="1:61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"/>
      <c r="BG55" s="2"/>
      <c r="BH55" s="2"/>
      <c r="BI55" s="2"/>
    </row>
    <row r="56" spans="1:61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2"/>
      <c r="AL56" s="2"/>
      <c r="AM56" s="2"/>
      <c r="AN56" s="2"/>
      <c r="AO56" s="2"/>
      <c r="AP56" s="2"/>
      <c r="AQ56" s="2"/>
      <c r="AR56" s="2"/>
      <c r="AS56" s="2"/>
      <c r="AT56" s="2"/>
      <c r="AU56" s="2"/>
      <c r="AV56" s="2"/>
      <c r="AW56" s="2"/>
      <c r="AX56" s="2"/>
      <c r="AY56" s="2"/>
      <c r="AZ56" s="2"/>
      <c r="BA56" s="2"/>
      <c r="BB56" s="2"/>
      <c r="BC56" s="2"/>
      <c r="BD56" s="2"/>
      <c r="BE56" s="2"/>
      <c r="BF56" s="2"/>
      <c r="BG56" s="2"/>
      <c r="BH56" s="2"/>
      <c r="BI56" s="2"/>
    </row>
    <row r="57" spans="1:61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  <c r="AK57" s="2"/>
      <c r="AL57" s="2"/>
      <c r="AM57" s="2"/>
      <c r="AN57" s="2"/>
      <c r="AO57" s="2"/>
      <c r="AP57" s="2"/>
      <c r="AQ57" s="2"/>
      <c r="AR57" s="2"/>
      <c r="AS57" s="2"/>
      <c r="AT57" s="2"/>
      <c r="AU57" s="2"/>
      <c r="AV57" s="2"/>
      <c r="AW57" s="2"/>
      <c r="AX57" s="2"/>
      <c r="AY57" s="2"/>
      <c r="AZ57" s="2"/>
      <c r="BA57" s="2"/>
      <c r="BB57" s="2"/>
      <c r="BC57" s="2"/>
      <c r="BD57" s="2"/>
      <c r="BE57" s="2"/>
      <c r="BF57" s="2"/>
      <c r="BG57" s="2"/>
      <c r="BH57" s="2"/>
      <c r="BI57" s="2"/>
    </row>
    <row r="58" spans="1:61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  <c r="AK58" s="2"/>
      <c r="AL58" s="2"/>
      <c r="AM58" s="2"/>
      <c r="AN58" s="2"/>
      <c r="AO58" s="2"/>
      <c r="AP58" s="2"/>
      <c r="AQ58" s="2"/>
      <c r="AR58" s="2"/>
      <c r="AS58" s="2"/>
      <c r="AT58" s="2"/>
      <c r="AU58" s="2"/>
      <c r="AV58" s="2"/>
      <c r="AW58" s="2"/>
      <c r="AX58" s="2"/>
      <c r="AY58" s="2"/>
      <c r="AZ58" s="2"/>
      <c r="BA58" s="2"/>
      <c r="BB58" s="2"/>
      <c r="BC58" s="2"/>
      <c r="BD58" s="2"/>
      <c r="BE58" s="2"/>
      <c r="BF58" s="2"/>
      <c r="BG58" s="2"/>
      <c r="BH58" s="2"/>
      <c r="BI58" s="2"/>
    </row>
    <row r="59" spans="1:61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  <c r="AK59" s="2"/>
      <c r="AL59" s="2"/>
      <c r="AM59" s="2"/>
      <c r="AN59" s="2"/>
      <c r="AO59" s="2"/>
      <c r="AP59" s="2"/>
      <c r="AQ59" s="2"/>
      <c r="AR59" s="2"/>
      <c r="AS59" s="2"/>
      <c r="AT59" s="2"/>
      <c r="AU59" s="2"/>
      <c r="AV59" s="2"/>
      <c r="AW59" s="2"/>
      <c r="AX59" s="2"/>
      <c r="AY59" s="2"/>
      <c r="AZ59" s="2"/>
      <c r="BA59" s="2"/>
      <c r="BB59" s="2"/>
      <c r="BC59" s="2"/>
      <c r="BD59" s="2"/>
      <c r="BE59" s="2"/>
      <c r="BF59" s="2"/>
      <c r="BG59" s="2"/>
      <c r="BH59" s="2"/>
      <c r="BI59" s="2"/>
    </row>
    <row r="60" spans="1:61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  <c r="AK60" s="2"/>
      <c r="AL60" s="2"/>
      <c r="AM60" s="2"/>
      <c r="AN60" s="2"/>
      <c r="AO60" s="2"/>
      <c r="AP60" s="2"/>
      <c r="AQ60" s="2"/>
      <c r="AR60" s="2"/>
      <c r="AS60" s="2"/>
      <c r="AT60" s="2"/>
      <c r="AU60" s="2"/>
      <c r="AV60" s="2"/>
      <c r="AW60" s="2"/>
      <c r="AX60" s="2"/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</row>
    <row r="61" spans="1:61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2"/>
      <c r="AL61" s="2"/>
      <c r="AM61" s="2"/>
      <c r="AN61" s="2"/>
      <c r="AO61" s="2"/>
      <c r="AP61" s="2"/>
      <c r="AQ61" s="2"/>
      <c r="AR61" s="2"/>
      <c r="AS61" s="2"/>
      <c r="AT61" s="2"/>
      <c r="AU61" s="2"/>
      <c r="AV61" s="2"/>
      <c r="AW61" s="2"/>
      <c r="AX61" s="2"/>
      <c r="AY61" s="2"/>
      <c r="AZ61" s="2"/>
      <c r="BA61" s="2"/>
      <c r="BB61" s="2"/>
      <c r="BC61" s="2"/>
      <c r="BD61" s="2"/>
      <c r="BE61" s="2"/>
      <c r="BF61" s="2"/>
      <c r="BG61" s="2"/>
      <c r="BH61" s="2"/>
      <c r="BI61" s="2"/>
    </row>
    <row r="62" spans="1:61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"/>
      <c r="AM62" s="2"/>
      <c r="AN62" s="2"/>
      <c r="AO62" s="2"/>
      <c r="AP62" s="2"/>
      <c r="AQ62" s="2"/>
      <c r="AR62" s="2"/>
      <c r="AS62" s="2"/>
      <c r="AT62" s="2"/>
      <c r="AU62" s="2"/>
      <c r="AV62" s="2"/>
      <c r="AW62" s="2"/>
      <c r="AX62" s="2"/>
      <c r="AY62" s="2"/>
      <c r="AZ62" s="2"/>
      <c r="BA62" s="2"/>
      <c r="BB62" s="2"/>
      <c r="BC62" s="2"/>
      <c r="BD62" s="2"/>
      <c r="BE62" s="2"/>
      <c r="BF62" s="2"/>
      <c r="BG62" s="2"/>
      <c r="BH62" s="2"/>
      <c r="BI62" s="2"/>
    </row>
    <row r="63" spans="1:61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"/>
      <c r="AD63" s="2"/>
      <c r="AE63" s="2"/>
      <c r="AF63" s="2"/>
      <c r="AG63" s="2"/>
      <c r="AH63" s="2"/>
      <c r="AI63" s="2"/>
      <c r="AJ63" s="2"/>
      <c r="AK63" s="2"/>
      <c r="AL63" s="2"/>
      <c r="AM63" s="2"/>
      <c r="AN63" s="2"/>
      <c r="AO63" s="2"/>
      <c r="AP63" s="2"/>
      <c r="AQ63" s="2"/>
      <c r="AR63" s="2"/>
      <c r="AS63" s="2"/>
      <c r="AT63" s="2"/>
      <c r="AU63" s="2"/>
      <c r="AV63" s="2"/>
      <c r="AW63" s="2"/>
      <c r="AX63" s="2"/>
      <c r="AY63" s="2"/>
      <c r="AZ63" s="2"/>
      <c r="BA63" s="2"/>
      <c r="BB63" s="2"/>
      <c r="BC63" s="2"/>
      <c r="BD63" s="2"/>
      <c r="BE63" s="2"/>
      <c r="BF63" s="2"/>
      <c r="BG63" s="2"/>
      <c r="BH63" s="2"/>
      <c r="BI63" s="2"/>
    </row>
    <row r="64" spans="1:61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"/>
      <c r="AX64" s="2"/>
      <c r="AY64" s="2"/>
      <c r="AZ64" s="2"/>
      <c r="BA64" s="2"/>
      <c r="BB64" s="2"/>
      <c r="BC64" s="2"/>
      <c r="BD64" s="2"/>
      <c r="BE64" s="2"/>
      <c r="BF64" s="2"/>
      <c r="BG64" s="2"/>
      <c r="BH64" s="2"/>
      <c r="BI64" s="2"/>
    </row>
    <row r="65" spans="1:61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"/>
      <c r="AS65" s="2"/>
      <c r="AT65" s="2"/>
      <c r="AU65" s="2"/>
      <c r="AV65" s="2"/>
      <c r="AW65" s="2"/>
      <c r="AX65" s="2"/>
      <c r="AY65" s="2"/>
      <c r="AZ65" s="2"/>
      <c r="BA65" s="2"/>
      <c r="BB65" s="2"/>
      <c r="BC65" s="2"/>
      <c r="BD65" s="2"/>
      <c r="BE65" s="2"/>
      <c r="BF65" s="2"/>
      <c r="BG65" s="2"/>
      <c r="BH65" s="2"/>
      <c r="BI65" s="2"/>
    </row>
    <row r="66" spans="1:61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"/>
      <c r="BI66" s="2"/>
    </row>
    <row r="67" spans="1:61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</row>
    <row r="68" spans="1:61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  <c r="AA68" s="2"/>
      <c r="AB68" s="2"/>
      <c r="AC68" s="2"/>
      <c r="AD68" s="2"/>
      <c r="AE68" s="2"/>
      <c r="AF68" s="2"/>
      <c r="AG68" s="2"/>
      <c r="AH68" s="2"/>
      <c r="AI68" s="2"/>
      <c r="AJ68" s="2"/>
      <c r="AK68" s="2"/>
      <c r="AL68" s="2"/>
      <c r="AM68" s="2"/>
      <c r="AN68" s="2"/>
      <c r="AO68" s="2"/>
      <c r="AP68" s="2"/>
      <c r="AQ68" s="2"/>
      <c r="AR68" s="2"/>
      <c r="AS68" s="2"/>
      <c r="AT68" s="2"/>
      <c r="AU68" s="2"/>
      <c r="AV68" s="2"/>
      <c r="AW68" s="2"/>
      <c r="AX68" s="2"/>
      <c r="AY68" s="2"/>
      <c r="AZ68" s="2"/>
      <c r="BA68" s="2"/>
      <c r="BB68" s="2"/>
      <c r="BC68" s="2"/>
      <c r="BD68" s="2"/>
      <c r="BE68" s="2"/>
      <c r="BF68" s="2"/>
      <c r="BG68" s="2"/>
      <c r="BH68" s="2"/>
      <c r="BI68" s="2"/>
    </row>
    <row r="69" spans="1:61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</row>
    <row r="70" spans="1:61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  <c r="AA70" s="2"/>
      <c r="AB70" s="2"/>
      <c r="AC70" s="2"/>
      <c r="AD70" s="2"/>
      <c r="AE70" s="2"/>
      <c r="AF70" s="2"/>
      <c r="AG70" s="2"/>
      <c r="AH70" s="2"/>
      <c r="AI70" s="2"/>
      <c r="AJ70" s="2"/>
      <c r="AK70" s="2"/>
      <c r="AL70" s="2"/>
      <c r="AM70" s="2"/>
      <c r="AN70" s="2"/>
      <c r="AO70" s="2"/>
      <c r="AP70" s="2"/>
      <c r="AQ70" s="2"/>
      <c r="AR70" s="2"/>
      <c r="AS70" s="2"/>
      <c r="AT70" s="2"/>
      <c r="AU70" s="2"/>
      <c r="AV70" s="2"/>
      <c r="AW70" s="2"/>
      <c r="AX70" s="2"/>
      <c r="AY70" s="2"/>
      <c r="AZ70" s="2"/>
      <c r="BA70" s="2"/>
      <c r="BB70" s="2"/>
      <c r="BC70" s="2"/>
      <c r="BD70" s="2"/>
      <c r="BE70" s="2"/>
      <c r="BF70" s="2"/>
      <c r="BG70" s="2"/>
      <c r="BH70" s="2"/>
      <c r="BI70" s="2"/>
    </row>
    <row r="71" spans="1:61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2"/>
      <c r="AL71" s="2"/>
      <c r="AM71" s="2"/>
      <c r="AN71" s="2"/>
      <c r="AO71" s="2"/>
      <c r="AP71" s="2"/>
      <c r="AQ71" s="2"/>
      <c r="AR71" s="2"/>
      <c r="AS71" s="2"/>
      <c r="AT71" s="2"/>
      <c r="AU71" s="2"/>
      <c r="AV71" s="2"/>
      <c r="AW71" s="2"/>
      <c r="AX71" s="2"/>
      <c r="AY71" s="2"/>
      <c r="AZ71" s="2"/>
      <c r="BA71" s="2"/>
      <c r="BB71" s="2"/>
      <c r="BC71" s="2"/>
      <c r="BD71" s="2"/>
      <c r="BE71" s="2"/>
      <c r="BF71" s="2"/>
      <c r="BG71" s="2"/>
      <c r="BH71" s="2"/>
      <c r="BI71" s="2"/>
    </row>
    <row r="72" spans="1:61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  <c r="AA72" s="2"/>
      <c r="AB72" s="2"/>
      <c r="AC72" s="2"/>
      <c r="AD72" s="2"/>
      <c r="AE72" s="2"/>
      <c r="AF72" s="2"/>
      <c r="AG72" s="2"/>
      <c r="AH72" s="2"/>
      <c r="AI72" s="2"/>
      <c r="AJ72" s="2"/>
      <c r="AK72" s="2"/>
      <c r="AL72" s="2"/>
      <c r="AM72" s="2"/>
      <c r="AN72" s="2"/>
      <c r="AO72" s="2"/>
      <c r="AP72" s="2"/>
      <c r="AQ72" s="2"/>
      <c r="AR72" s="2"/>
      <c r="AS72" s="2"/>
      <c r="AT72" s="2"/>
      <c r="AU72" s="2"/>
      <c r="AV72" s="2"/>
      <c r="AW72" s="2"/>
      <c r="AX72" s="2"/>
      <c r="AY72" s="2"/>
      <c r="AZ72" s="2"/>
      <c r="BA72" s="2"/>
      <c r="BB72" s="2"/>
      <c r="BC72" s="2"/>
      <c r="BD72" s="2"/>
      <c r="BE72" s="2"/>
      <c r="BF72" s="2"/>
      <c r="BG72" s="2"/>
      <c r="BH72" s="2"/>
      <c r="BI72" s="2"/>
    </row>
    <row r="73" spans="1:61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  <c r="AA73" s="2"/>
      <c r="AB73" s="2"/>
      <c r="AC73" s="2"/>
      <c r="AD73" s="2"/>
      <c r="AE73" s="2"/>
      <c r="AF73" s="2"/>
      <c r="AG73" s="2"/>
      <c r="AH73" s="2"/>
      <c r="AI73" s="2"/>
      <c r="AJ73" s="2"/>
      <c r="AK73" s="2"/>
      <c r="AL73" s="2"/>
      <c r="AM73" s="2"/>
      <c r="AN73" s="2"/>
      <c r="AO73" s="2"/>
      <c r="AP73" s="2"/>
      <c r="AQ73" s="2"/>
      <c r="AR73" s="2"/>
      <c r="AS73" s="2"/>
      <c r="AT73" s="2"/>
      <c r="AU73" s="2"/>
      <c r="AV73" s="2"/>
      <c r="AW73" s="2"/>
      <c r="AX73" s="2"/>
      <c r="AY73" s="2"/>
      <c r="AZ73" s="2"/>
      <c r="BA73" s="2"/>
      <c r="BB73" s="2"/>
      <c r="BC73" s="2"/>
      <c r="BD73" s="2"/>
      <c r="BE73" s="2"/>
      <c r="BF73" s="2"/>
      <c r="BG73" s="2"/>
      <c r="BH73" s="2"/>
      <c r="BI73" s="2"/>
    </row>
    <row r="74" spans="1:61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  <c r="AA74" s="2"/>
      <c r="AB74" s="2"/>
      <c r="AC74" s="2"/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</row>
    <row r="75" spans="1:61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</row>
    <row r="76" spans="1:61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2"/>
      <c r="AL76" s="2"/>
      <c r="AM76" s="2"/>
      <c r="AN76" s="2"/>
      <c r="AO76" s="2"/>
      <c r="AP76" s="2"/>
      <c r="AQ76" s="2"/>
      <c r="AR76" s="2"/>
      <c r="AS76" s="2"/>
      <c r="AT76" s="2"/>
      <c r="AU76" s="2"/>
      <c r="AV76" s="2"/>
      <c r="AW76" s="2"/>
      <c r="AX76" s="2"/>
      <c r="AY76" s="2"/>
      <c r="AZ76" s="2"/>
      <c r="BA76" s="2"/>
      <c r="BB76" s="2"/>
      <c r="BC76" s="2"/>
      <c r="BD76" s="2"/>
      <c r="BE76" s="2"/>
      <c r="BF76" s="2"/>
      <c r="BG76" s="2"/>
      <c r="BH76" s="2"/>
      <c r="BI76" s="2"/>
    </row>
    <row r="77" spans="1:61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  <c r="AA77" s="2"/>
      <c r="AB77" s="2"/>
      <c r="AC77" s="2"/>
      <c r="AD77" s="2"/>
      <c r="AE77" s="2"/>
      <c r="AF77" s="2"/>
      <c r="AG77" s="2"/>
      <c r="AH77" s="2"/>
      <c r="AI77" s="2"/>
      <c r="AJ77" s="2"/>
      <c r="AK77" s="2"/>
      <c r="AL77" s="2"/>
      <c r="AM77" s="2"/>
      <c r="AN77" s="2"/>
      <c r="AO77" s="2"/>
      <c r="AP77" s="2"/>
      <c r="AQ77" s="2"/>
      <c r="AR77" s="2"/>
      <c r="AS77" s="2"/>
      <c r="AT77" s="2"/>
      <c r="AU77" s="2"/>
      <c r="AV77" s="2"/>
      <c r="AW77" s="2"/>
      <c r="AX77" s="2"/>
      <c r="AY77" s="2"/>
      <c r="AZ77" s="2"/>
      <c r="BA77" s="2"/>
      <c r="BB77" s="2"/>
      <c r="BC77" s="2"/>
      <c r="BD77" s="2"/>
      <c r="BE77" s="2"/>
      <c r="BF77" s="2"/>
      <c r="BG77" s="2"/>
      <c r="BH77" s="2"/>
      <c r="BI77" s="2"/>
    </row>
    <row r="78" spans="1:61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  <c r="AA78" s="2"/>
      <c r="AB78" s="2"/>
      <c r="AC78" s="2"/>
      <c r="AD78" s="2"/>
      <c r="AE78" s="2"/>
      <c r="AF78" s="2"/>
      <c r="AG78" s="2"/>
      <c r="AH78" s="2"/>
      <c r="AI78" s="2"/>
      <c r="AJ78" s="2"/>
      <c r="AK78" s="2"/>
      <c r="AL78" s="2"/>
      <c r="AM78" s="2"/>
      <c r="AN78" s="2"/>
      <c r="AO78" s="2"/>
      <c r="AP78" s="2"/>
      <c r="AQ78" s="2"/>
      <c r="AR78" s="2"/>
      <c r="AS78" s="2"/>
      <c r="AT78" s="2"/>
      <c r="AU78" s="2"/>
      <c r="AV78" s="2"/>
      <c r="AW78" s="2"/>
      <c r="AX78" s="2"/>
      <c r="AY78" s="2"/>
      <c r="AZ78" s="2"/>
      <c r="BA78" s="2"/>
      <c r="BB78" s="2"/>
      <c r="BC78" s="2"/>
      <c r="BD78" s="2"/>
      <c r="BE78" s="2"/>
      <c r="BF78" s="2"/>
      <c r="BG78" s="2"/>
      <c r="BH78" s="2"/>
      <c r="BI78" s="2"/>
    </row>
    <row r="79" spans="1:61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</row>
    <row r="80" spans="1:61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  <c r="AA80" s="2"/>
      <c r="AB80" s="2"/>
      <c r="AC80" s="2"/>
      <c r="AD80" s="2"/>
      <c r="AE80" s="2"/>
      <c r="AF80" s="2"/>
      <c r="AG80" s="2"/>
      <c r="AH80" s="2"/>
      <c r="AI80" s="2"/>
      <c r="AJ80" s="2"/>
      <c r="AK80" s="2"/>
      <c r="AL80" s="2"/>
      <c r="AM80" s="2"/>
      <c r="AN80" s="2"/>
      <c r="AO80" s="2"/>
      <c r="AP80" s="2"/>
      <c r="AQ80" s="2"/>
      <c r="AR80" s="2"/>
      <c r="AS80" s="2"/>
      <c r="AT80" s="2"/>
      <c r="AU80" s="2"/>
      <c r="AV80" s="2"/>
      <c r="AW80" s="2"/>
      <c r="AX80" s="2"/>
      <c r="AY80" s="2"/>
      <c r="AZ80" s="2"/>
      <c r="BA80" s="2"/>
      <c r="BB80" s="2"/>
      <c r="BC80" s="2"/>
      <c r="BD80" s="2"/>
      <c r="BE80" s="2"/>
      <c r="BF80" s="2"/>
      <c r="BG80" s="2"/>
      <c r="BH80" s="2"/>
      <c r="BI80" s="2"/>
    </row>
    <row r="81" spans="1:61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2"/>
      <c r="AL81" s="2"/>
      <c r="AM81" s="2"/>
      <c r="AN81" s="2"/>
      <c r="AO81" s="2"/>
      <c r="AP81" s="2"/>
      <c r="AQ81" s="2"/>
      <c r="AR81" s="2"/>
      <c r="AS81" s="2"/>
      <c r="AT81" s="2"/>
      <c r="AU81" s="2"/>
      <c r="AV81" s="2"/>
      <c r="AW81" s="2"/>
      <c r="AX81" s="2"/>
      <c r="AY81" s="2"/>
      <c r="AZ81" s="2"/>
      <c r="BA81" s="2"/>
      <c r="BB81" s="2"/>
      <c r="BC81" s="2"/>
      <c r="BD81" s="2"/>
      <c r="BE81" s="2"/>
      <c r="BF81" s="2"/>
      <c r="BG81" s="2"/>
      <c r="BH81" s="2"/>
      <c r="BI81" s="2"/>
    </row>
    <row r="82" spans="1:61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  <c r="AA82" s="2"/>
      <c r="AB82" s="2"/>
      <c r="AC82" s="2"/>
      <c r="AD82" s="2"/>
      <c r="AE82" s="2"/>
      <c r="AF82" s="2"/>
      <c r="AG82" s="2"/>
      <c r="AH82" s="2"/>
      <c r="AI82" s="2"/>
      <c r="AJ82" s="2"/>
      <c r="AK82" s="2"/>
      <c r="AL82" s="2"/>
      <c r="AM82" s="2"/>
      <c r="AN82" s="2"/>
      <c r="AO82" s="2"/>
      <c r="AP82" s="2"/>
      <c r="AQ82" s="2"/>
      <c r="AR82" s="2"/>
      <c r="AS82" s="2"/>
      <c r="AT82" s="2"/>
      <c r="AU82" s="2"/>
      <c r="AV82" s="2"/>
      <c r="AW82" s="2"/>
      <c r="AX82" s="2"/>
      <c r="AY82" s="2"/>
      <c r="AZ82" s="2"/>
      <c r="BA82" s="2"/>
      <c r="BB82" s="2"/>
      <c r="BC82" s="2"/>
      <c r="BD82" s="2"/>
      <c r="BE82" s="2"/>
      <c r="BF82" s="2"/>
      <c r="BG82" s="2"/>
      <c r="BH82" s="2"/>
      <c r="BI82" s="2"/>
    </row>
    <row r="83" spans="1:61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  <c r="AA83" s="2"/>
      <c r="AB83" s="2"/>
      <c r="AC83" s="2"/>
      <c r="AD83" s="2"/>
      <c r="AE83" s="2"/>
      <c r="AF83" s="2"/>
      <c r="AG83" s="2"/>
      <c r="AH83" s="2"/>
      <c r="AI83" s="2"/>
      <c r="AJ83" s="2"/>
      <c r="AK83" s="2"/>
      <c r="AL83" s="2"/>
      <c r="AM83" s="2"/>
      <c r="AN83" s="2"/>
      <c r="AO83" s="2"/>
      <c r="AP83" s="2"/>
      <c r="AQ83" s="2"/>
      <c r="AR83" s="2"/>
      <c r="AS83" s="2"/>
      <c r="AT83" s="2"/>
      <c r="AU83" s="2"/>
      <c r="AV83" s="2"/>
      <c r="AW83" s="2"/>
      <c r="AX83" s="2"/>
      <c r="AY83" s="2"/>
      <c r="AZ83" s="2"/>
      <c r="BA83" s="2"/>
      <c r="BB83" s="2"/>
      <c r="BC83" s="2"/>
      <c r="BD83" s="2"/>
      <c r="BE83" s="2"/>
      <c r="BF83" s="2"/>
      <c r="BG83" s="2"/>
      <c r="BH83" s="2"/>
      <c r="BI83" s="2"/>
    </row>
    <row r="84" spans="1:61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"/>
      <c r="AJ84" s="2"/>
      <c r="AK84" s="2"/>
      <c r="AL84" s="2"/>
      <c r="AM84" s="2"/>
      <c r="AN84" s="2"/>
      <c r="AO84" s="2"/>
      <c r="AP84" s="2"/>
      <c r="AQ84" s="2"/>
      <c r="AR84" s="2"/>
      <c r="AS84" s="2"/>
      <c r="AT84" s="2"/>
      <c r="AU84" s="2"/>
      <c r="AV84" s="2"/>
      <c r="AW84" s="2"/>
      <c r="AX84" s="2"/>
      <c r="AY84" s="2"/>
      <c r="AZ84" s="2"/>
      <c r="BA84" s="2"/>
      <c r="BB84" s="2"/>
      <c r="BC84" s="2"/>
      <c r="BD84" s="2"/>
      <c r="BE84" s="2"/>
      <c r="BF84" s="2"/>
      <c r="BG84" s="2"/>
      <c r="BH84" s="2"/>
      <c r="BI84" s="2"/>
    </row>
    <row r="85" spans="1:61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  <c r="AA85" s="2"/>
      <c r="AB85" s="2"/>
      <c r="AC85" s="2"/>
      <c r="AD85" s="2"/>
      <c r="AE85" s="2"/>
      <c r="AF85" s="2"/>
      <c r="AG85" s="2"/>
      <c r="AH85" s="2"/>
      <c r="AI85" s="2"/>
      <c r="AJ85" s="2"/>
      <c r="AK85" s="2"/>
      <c r="AL85" s="2"/>
      <c r="AM85" s="2"/>
      <c r="AN85" s="2"/>
      <c r="AO85" s="2"/>
      <c r="AP85" s="2"/>
      <c r="AQ85" s="2"/>
      <c r="AR85" s="2"/>
      <c r="AS85" s="2"/>
      <c r="AT85" s="2"/>
      <c r="AU85" s="2"/>
      <c r="AV85" s="2"/>
      <c r="AW85" s="2"/>
      <c r="AX85" s="2"/>
      <c r="AY85" s="2"/>
      <c r="AZ85" s="2"/>
      <c r="BA85" s="2"/>
      <c r="BB85" s="2"/>
      <c r="BC85" s="2"/>
      <c r="BD85" s="2"/>
      <c r="BE85" s="2"/>
      <c r="BF85" s="2"/>
      <c r="BG85" s="2"/>
      <c r="BH85" s="2"/>
      <c r="BI85" s="2"/>
    </row>
    <row r="86" spans="1:61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  <c r="AA86" s="2"/>
      <c r="AB86" s="2"/>
      <c r="AC86" s="2"/>
      <c r="AD86" s="2"/>
      <c r="AE86" s="2"/>
      <c r="AF86" s="2"/>
      <c r="AG86" s="2"/>
      <c r="AH86" s="2"/>
      <c r="AI86" s="2"/>
      <c r="AJ86" s="2"/>
      <c r="AK86" s="2"/>
      <c r="AL86" s="2"/>
      <c r="AM86" s="2"/>
      <c r="AN86" s="2"/>
      <c r="AO86" s="2"/>
      <c r="AP86" s="2"/>
      <c r="AQ86" s="2"/>
      <c r="AR86" s="2"/>
      <c r="AS86" s="2"/>
      <c r="AT86" s="2"/>
      <c r="AU86" s="2"/>
      <c r="AV86" s="2"/>
      <c r="AW86" s="2"/>
      <c r="AX86" s="2"/>
      <c r="AY86" s="2"/>
      <c r="AZ86" s="2"/>
      <c r="BA86" s="2"/>
      <c r="BB86" s="2"/>
      <c r="BC86" s="2"/>
      <c r="BD86" s="2"/>
      <c r="BE86" s="2"/>
      <c r="BF86" s="2"/>
      <c r="BG86" s="2"/>
      <c r="BH86" s="2"/>
      <c r="BI86" s="2"/>
    </row>
    <row r="87" spans="1:61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  <c r="AA87" s="2"/>
      <c r="AB87" s="2"/>
      <c r="AC87" s="2"/>
      <c r="AD87" s="2"/>
      <c r="AE87" s="2"/>
      <c r="AF87" s="2"/>
      <c r="AG87" s="2"/>
      <c r="AH87" s="2"/>
      <c r="AI87" s="2"/>
      <c r="AJ87" s="2"/>
      <c r="AK87" s="2"/>
      <c r="AL87" s="2"/>
      <c r="AM87" s="2"/>
      <c r="AN87" s="2"/>
      <c r="AO87" s="2"/>
      <c r="AP87" s="2"/>
      <c r="AQ87" s="2"/>
      <c r="AR87" s="2"/>
      <c r="AS87" s="2"/>
      <c r="AT87" s="2"/>
      <c r="AU87" s="2"/>
      <c r="AV87" s="2"/>
      <c r="AW87" s="2"/>
      <c r="AX87" s="2"/>
      <c r="AY87" s="2"/>
      <c r="AZ87" s="2"/>
      <c r="BA87" s="2"/>
      <c r="BB87" s="2"/>
      <c r="BC87" s="2"/>
      <c r="BD87" s="2"/>
      <c r="BE87" s="2"/>
      <c r="BF87" s="2"/>
      <c r="BG87" s="2"/>
      <c r="BH87" s="2"/>
      <c r="BI87" s="2"/>
    </row>
    <row r="88" spans="1:61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  <c r="AA88" s="2"/>
      <c r="AB88" s="2"/>
      <c r="AC88" s="2"/>
      <c r="AD88" s="2"/>
      <c r="AE88" s="2"/>
      <c r="AF88" s="2"/>
      <c r="AG88" s="2"/>
      <c r="AH88" s="2"/>
      <c r="AI88" s="2"/>
      <c r="AJ88" s="2"/>
      <c r="AK88" s="2"/>
      <c r="AL88" s="2"/>
      <c r="AM88" s="2"/>
      <c r="AN88" s="2"/>
      <c r="AO88" s="2"/>
      <c r="AP88" s="2"/>
      <c r="AQ88" s="2"/>
      <c r="AR88" s="2"/>
      <c r="AS88" s="2"/>
      <c r="AT88" s="2"/>
      <c r="AU88" s="2"/>
      <c r="AV88" s="2"/>
      <c r="AW88" s="2"/>
      <c r="AX88" s="2"/>
      <c r="AY88" s="2"/>
      <c r="AZ88" s="2"/>
      <c r="BA88" s="2"/>
      <c r="BB88" s="2"/>
      <c r="BC88" s="2"/>
      <c r="BD88" s="2"/>
      <c r="BE88" s="2"/>
      <c r="BF88" s="2"/>
      <c r="BG88" s="2"/>
      <c r="BH88" s="2"/>
      <c r="BI88" s="2"/>
    </row>
    <row r="89" spans="1:61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  <c r="AA89" s="2"/>
      <c r="AB89" s="2"/>
      <c r="AC89" s="2"/>
      <c r="AD89" s="2"/>
      <c r="AE89" s="2"/>
      <c r="AF89" s="2"/>
      <c r="AG89" s="2"/>
      <c r="AH89" s="2"/>
      <c r="AI89" s="2"/>
      <c r="AJ89" s="2"/>
      <c r="AK89" s="2"/>
      <c r="AL89" s="2"/>
      <c r="AM89" s="2"/>
      <c r="AN89" s="2"/>
      <c r="AO89" s="2"/>
      <c r="AP89" s="2"/>
      <c r="AQ89" s="2"/>
      <c r="AR89" s="2"/>
      <c r="AS89" s="2"/>
      <c r="AT89" s="2"/>
      <c r="AU89" s="2"/>
      <c r="AV89" s="2"/>
      <c r="AW89" s="2"/>
      <c r="AX89" s="2"/>
      <c r="AY89" s="2"/>
      <c r="AZ89" s="2"/>
      <c r="BA89" s="2"/>
      <c r="BB89" s="2"/>
      <c r="BC89" s="2"/>
      <c r="BD89" s="2"/>
      <c r="BE89" s="2"/>
      <c r="BF89" s="2"/>
      <c r="BG89" s="2"/>
      <c r="BH89" s="2"/>
      <c r="BI89" s="2"/>
    </row>
    <row r="90" spans="1:61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  <c r="AA90" s="2"/>
      <c r="AB90" s="2"/>
      <c r="AC90" s="2"/>
      <c r="AD90" s="2"/>
      <c r="AE90" s="2"/>
      <c r="AF90" s="2"/>
      <c r="AG90" s="2"/>
      <c r="AH90" s="2"/>
      <c r="AI90" s="2"/>
      <c r="AJ90" s="2"/>
      <c r="AK90" s="2"/>
      <c r="AL90" s="2"/>
      <c r="AM90" s="2"/>
      <c r="AN90" s="2"/>
      <c r="AO90" s="2"/>
      <c r="AP90" s="2"/>
      <c r="AQ90" s="2"/>
      <c r="AR90" s="2"/>
      <c r="AS90" s="2"/>
      <c r="AT90" s="2"/>
      <c r="AU90" s="2"/>
      <c r="AV90" s="2"/>
      <c r="AW90" s="2"/>
      <c r="AX90" s="2"/>
      <c r="AY90" s="2"/>
      <c r="AZ90" s="2"/>
      <c r="BA90" s="2"/>
      <c r="BB90" s="2"/>
      <c r="BC90" s="2"/>
      <c r="BD90" s="2"/>
      <c r="BE90" s="2"/>
      <c r="BF90" s="2"/>
      <c r="BG90" s="2"/>
      <c r="BH90" s="2"/>
      <c r="BI90" s="2"/>
    </row>
    <row r="91" spans="1:61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  <c r="AA91" s="2"/>
      <c r="AB91" s="2"/>
      <c r="AC91" s="2"/>
      <c r="AD91" s="2"/>
      <c r="AE91" s="2"/>
      <c r="AF91" s="2"/>
      <c r="AG91" s="2"/>
      <c r="AH91" s="2"/>
      <c r="AI91" s="2"/>
      <c r="AJ91" s="2"/>
      <c r="AK91" s="2"/>
      <c r="AL91" s="2"/>
      <c r="AM91" s="2"/>
      <c r="AN91" s="2"/>
      <c r="AO91" s="2"/>
      <c r="AP91" s="2"/>
      <c r="AQ91" s="2"/>
      <c r="AR91" s="2"/>
      <c r="AS91" s="2"/>
      <c r="AT91" s="2"/>
      <c r="AU91" s="2"/>
      <c r="AV91" s="2"/>
      <c r="AW91" s="2"/>
      <c r="AX91" s="2"/>
      <c r="AY91" s="2"/>
      <c r="AZ91" s="2"/>
      <c r="BA91" s="2"/>
      <c r="BB91" s="2"/>
      <c r="BC91" s="2"/>
      <c r="BD91" s="2"/>
      <c r="BE91" s="2"/>
      <c r="BF91" s="2"/>
      <c r="BG91" s="2"/>
      <c r="BH91" s="2"/>
      <c r="BI91" s="2"/>
    </row>
    <row r="92" spans="1:61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"/>
    </row>
    <row r="93" spans="1:61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  <c r="AA93" s="2"/>
      <c r="AB93" s="2"/>
      <c r="AC93" s="2"/>
      <c r="AD93" s="2"/>
      <c r="AE93" s="2"/>
      <c r="AF93" s="2"/>
      <c r="AG93" s="2"/>
      <c r="AH93" s="2"/>
      <c r="AI93" s="2"/>
      <c r="AJ93" s="2"/>
      <c r="AK93" s="2"/>
      <c r="AL93" s="2"/>
      <c r="AM93" s="2"/>
      <c r="AN93" s="2"/>
      <c r="AO93" s="2"/>
      <c r="AP93" s="2"/>
      <c r="AQ93" s="2"/>
      <c r="AR93" s="2"/>
      <c r="AS93" s="2"/>
      <c r="AT93" s="2"/>
      <c r="AU93" s="2"/>
      <c r="AV93" s="2"/>
      <c r="AW93" s="2"/>
      <c r="AX93" s="2"/>
      <c r="AY93" s="2"/>
      <c r="AZ93" s="2"/>
      <c r="BA93" s="2"/>
      <c r="BB93" s="2"/>
      <c r="BC93" s="2"/>
      <c r="BD93" s="2"/>
      <c r="BE93" s="2"/>
      <c r="BF93" s="2"/>
      <c r="BG93" s="2"/>
      <c r="BH93" s="2"/>
      <c r="BI93" s="2"/>
    </row>
    <row r="94" spans="1:61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  <c r="AA94" s="2"/>
      <c r="AB94" s="2"/>
      <c r="AC94" s="2"/>
      <c r="AD94" s="2"/>
      <c r="AE94" s="2"/>
      <c r="AF94" s="2"/>
      <c r="AG94" s="2"/>
      <c r="AH94" s="2"/>
      <c r="AI94" s="2"/>
      <c r="AJ94" s="2"/>
      <c r="AK94" s="2"/>
      <c r="AL94" s="2"/>
      <c r="AM94" s="2"/>
      <c r="AN94" s="2"/>
      <c r="AO94" s="2"/>
      <c r="AP94" s="2"/>
      <c r="AQ94" s="2"/>
      <c r="AR94" s="2"/>
      <c r="AS94" s="2"/>
      <c r="AT94" s="2"/>
      <c r="AU94" s="2"/>
      <c r="AV94" s="2"/>
      <c r="AW94" s="2"/>
      <c r="AX94" s="2"/>
      <c r="AY94" s="2"/>
      <c r="AZ94" s="2"/>
      <c r="BA94" s="2"/>
      <c r="BB94" s="2"/>
      <c r="BC94" s="2"/>
      <c r="BD94" s="2"/>
      <c r="BE94" s="2"/>
      <c r="BF94" s="2"/>
      <c r="BG94" s="2"/>
      <c r="BH94" s="2"/>
      <c r="BI94" s="2"/>
    </row>
    <row r="95" spans="1:61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  <c r="AJ95" s="2"/>
      <c r="AK95" s="2"/>
      <c r="AL95" s="2"/>
      <c r="AM95" s="2"/>
      <c r="AN95" s="2"/>
      <c r="AO95" s="2"/>
      <c r="AP95" s="2"/>
      <c r="AQ95" s="2"/>
      <c r="AR95" s="2"/>
      <c r="AS95" s="2"/>
      <c r="AT95" s="2"/>
      <c r="AU95" s="2"/>
      <c r="AV95" s="2"/>
      <c r="AW95" s="2"/>
      <c r="AX95" s="2"/>
      <c r="AY95" s="2"/>
      <c r="AZ95" s="2"/>
      <c r="BA95" s="2"/>
      <c r="BB95" s="2"/>
      <c r="BC95" s="2"/>
      <c r="BD95" s="2"/>
      <c r="BE95" s="2"/>
      <c r="BF95" s="2"/>
      <c r="BG95" s="2"/>
      <c r="BH95" s="2"/>
      <c r="BI95" s="2"/>
    </row>
    <row r="96" spans="1:61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  <c r="AJ96" s="2"/>
      <c r="AK96" s="2"/>
      <c r="AL96" s="2"/>
      <c r="AM96" s="2"/>
      <c r="AN96" s="2"/>
      <c r="AO96" s="2"/>
      <c r="AP96" s="2"/>
      <c r="AQ96" s="2"/>
      <c r="AR96" s="2"/>
      <c r="AS96" s="2"/>
      <c r="AT96" s="2"/>
      <c r="AU96" s="2"/>
      <c r="AV96" s="2"/>
      <c r="AW96" s="2"/>
      <c r="AX96" s="2"/>
      <c r="AY96" s="2"/>
      <c r="AZ96" s="2"/>
      <c r="BA96" s="2"/>
      <c r="BB96" s="2"/>
      <c r="BC96" s="2"/>
      <c r="BD96" s="2"/>
      <c r="BE96" s="2"/>
      <c r="BF96" s="2"/>
      <c r="BG96" s="2"/>
      <c r="BH96" s="2"/>
      <c r="BI96" s="2"/>
    </row>
    <row r="97" spans="1:61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</row>
    <row r="98" spans="1:61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  <c r="AJ98" s="2"/>
      <c r="AK98" s="2"/>
      <c r="AL98" s="2"/>
      <c r="AM98" s="2"/>
      <c r="AN98" s="2"/>
      <c r="AO98" s="2"/>
      <c r="AP98" s="2"/>
      <c r="AQ98" s="2"/>
      <c r="AR98" s="2"/>
      <c r="AS98" s="2"/>
      <c r="AT98" s="2"/>
      <c r="AU98" s="2"/>
      <c r="AV98" s="2"/>
      <c r="AW98" s="2"/>
      <c r="AX98" s="2"/>
      <c r="AY98" s="2"/>
      <c r="AZ98" s="2"/>
      <c r="BA98" s="2"/>
      <c r="BB98" s="2"/>
      <c r="BC98" s="2"/>
      <c r="BD98" s="2"/>
      <c r="BE98" s="2"/>
      <c r="BF98" s="2"/>
      <c r="BG98" s="2"/>
      <c r="BH98" s="2"/>
      <c r="BI98" s="2"/>
    </row>
    <row r="99" spans="1:61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  <c r="AJ99" s="2"/>
      <c r="AK99" s="2"/>
      <c r="AL99" s="2"/>
      <c r="AM99" s="2"/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</row>
    <row r="100" spans="1:61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</row>
    <row r="101" spans="1:61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"/>
      <c r="AM101" s="2"/>
      <c r="AN101" s="2"/>
      <c r="AO101" s="2"/>
      <c r="AP101" s="2"/>
      <c r="AQ101" s="2"/>
      <c r="AR101" s="2"/>
      <c r="AS101" s="2"/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</row>
    <row r="102" spans="1:61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  <c r="AJ102" s="2"/>
      <c r="AK102" s="2"/>
      <c r="AL102" s="2"/>
      <c r="AM102" s="2"/>
      <c r="AN102" s="2"/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</row>
    <row r="103" spans="1:61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  <c r="AJ103" s="2"/>
      <c r="AK103" s="2"/>
      <c r="AL103" s="2"/>
      <c r="AM103" s="2"/>
      <c r="AN103" s="2"/>
      <c r="AO103" s="2"/>
      <c r="AP103" s="2"/>
      <c r="AQ103" s="2"/>
      <c r="AR103" s="2"/>
      <c r="AS103" s="2"/>
      <c r="AT103" s="2"/>
      <c r="AU103" s="2"/>
      <c r="AV103" s="2"/>
      <c r="AW103" s="2"/>
      <c r="AX103" s="2"/>
      <c r="AY103" s="2"/>
      <c r="AZ103" s="2"/>
      <c r="BA103" s="2"/>
      <c r="BB103" s="2"/>
      <c r="BC103" s="2"/>
      <c r="BD103" s="2"/>
      <c r="BE103" s="2"/>
      <c r="BF103" s="2"/>
      <c r="BG103" s="2"/>
      <c r="BH103" s="2"/>
      <c r="BI103" s="2"/>
    </row>
    <row r="104" spans="1:61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  <c r="AJ104" s="2"/>
      <c r="AK104" s="2"/>
      <c r="AL104" s="2"/>
      <c r="AM104" s="2"/>
      <c r="AN104" s="2"/>
      <c r="AO104" s="2"/>
      <c r="AP104" s="2"/>
      <c r="AQ104" s="2"/>
      <c r="AR104" s="2"/>
      <c r="AS104" s="2"/>
      <c r="AT104" s="2"/>
      <c r="AU104" s="2"/>
      <c r="AV104" s="2"/>
      <c r="AW104" s="2"/>
      <c r="AX104" s="2"/>
      <c r="AY104" s="2"/>
      <c r="AZ104" s="2"/>
      <c r="BA104" s="2"/>
      <c r="BB104" s="2"/>
      <c r="BC104" s="2"/>
      <c r="BD104" s="2"/>
      <c r="BE104" s="2"/>
      <c r="BF104" s="2"/>
      <c r="BG104" s="2"/>
      <c r="BH104" s="2"/>
      <c r="BI104" s="2"/>
    </row>
    <row r="105" spans="1:61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</row>
    <row r="106" spans="1:61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"/>
      <c r="AR106" s="2"/>
      <c r="AS106" s="2"/>
      <c r="AT106" s="2"/>
      <c r="AU106" s="2"/>
      <c r="AV106" s="2"/>
      <c r="AW106" s="2"/>
      <c r="AX106" s="2"/>
      <c r="AY106" s="2"/>
      <c r="AZ106" s="2"/>
      <c r="BA106" s="2"/>
      <c r="BB106" s="2"/>
      <c r="BC106" s="2"/>
      <c r="BD106" s="2"/>
      <c r="BE106" s="2"/>
      <c r="BF106" s="2"/>
      <c r="BG106" s="2"/>
      <c r="BH106" s="2"/>
      <c r="BI106" s="2"/>
    </row>
    <row r="107" spans="1:61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</row>
    <row r="108" spans="1:61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</row>
    <row r="109" spans="1:61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</row>
    <row r="110" spans="1:61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"/>
      <c r="AQ110" s="2"/>
      <c r="AR110" s="2"/>
      <c r="AS110" s="2"/>
      <c r="AT110" s="2"/>
      <c r="AU110" s="2"/>
      <c r="AV110" s="2"/>
      <c r="AW110" s="2"/>
      <c r="AX110" s="2"/>
      <c r="AY110" s="2"/>
      <c r="AZ110" s="2"/>
      <c r="BA110" s="2"/>
      <c r="BB110" s="2"/>
      <c r="BC110" s="2"/>
      <c r="BD110" s="2"/>
      <c r="BE110" s="2"/>
      <c r="BF110" s="2"/>
      <c r="BG110" s="2"/>
      <c r="BH110" s="2"/>
      <c r="BI110" s="2"/>
    </row>
    <row r="111" spans="1:61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  <c r="AJ111" s="2"/>
      <c r="AK111" s="2"/>
      <c r="AL111" s="2"/>
      <c r="AM111" s="2"/>
      <c r="AN111" s="2"/>
      <c r="AO111" s="2"/>
      <c r="AP111" s="2"/>
      <c r="AQ111" s="2"/>
      <c r="AR111" s="2"/>
      <c r="AS111" s="2"/>
      <c r="AT111" s="2"/>
      <c r="AU111" s="2"/>
      <c r="AV111" s="2"/>
      <c r="AW111" s="2"/>
      <c r="AX111" s="2"/>
      <c r="AY111" s="2"/>
      <c r="AZ111" s="2"/>
      <c r="BA111" s="2"/>
      <c r="BB111" s="2"/>
      <c r="BC111" s="2"/>
      <c r="BD111" s="2"/>
      <c r="BE111" s="2"/>
      <c r="BF111" s="2"/>
      <c r="BG111" s="2"/>
      <c r="BH111" s="2"/>
      <c r="BI111" s="2"/>
    </row>
    <row r="112" spans="1:61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</row>
    <row r="113" spans="1:61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</row>
    <row r="114" spans="1:61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  <c r="AJ114" s="2"/>
      <c r="AK114" s="2"/>
      <c r="AL114" s="2"/>
      <c r="AM114" s="2"/>
      <c r="AN114" s="2"/>
      <c r="AO114" s="2"/>
      <c r="AP114" s="2"/>
      <c r="AQ114" s="2"/>
      <c r="AR114" s="2"/>
      <c r="AS114" s="2"/>
      <c r="AT114" s="2"/>
      <c r="AU114" s="2"/>
      <c r="AV114" s="2"/>
      <c r="AW114" s="2"/>
      <c r="AX114" s="2"/>
      <c r="AY114" s="2"/>
      <c r="AZ114" s="2"/>
      <c r="BA114" s="2"/>
      <c r="BB114" s="2"/>
      <c r="BC114" s="2"/>
      <c r="BD114" s="2"/>
      <c r="BE114" s="2"/>
      <c r="BF114" s="2"/>
      <c r="BG114" s="2"/>
      <c r="BH114" s="2"/>
      <c r="BI114" s="2"/>
    </row>
    <row r="115" spans="1:61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  <c r="AJ115" s="2"/>
      <c r="AK115" s="2"/>
      <c r="AL115" s="2"/>
      <c r="AM115" s="2"/>
      <c r="AN115" s="2"/>
      <c r="AO115" s="2"/>
      <c r="AP115" s="2"/>
      <c r="AQ115" s="2"/>
      <c r="AR115" s="2"/>
      <c r="AS115" s="2"/>
      <c r="AT115" s="2"/>
      <c r="AU115" s="2"/>
      <c r="AV115" s="2"/>
      <c r="AW115" s="2"/>
      <c r="AX115" s="2"/>
      <c r="AY115" s="2"/>
      <c r="AZ115" s="2"/>
      <c r="BA115" s="2"/>
      <c r="BB115" s="2"/>
      <c r="BC115" s="2"/>
      <c r="BD115" s="2"/>
      <c r="BE115" s="2"/>
      <c r="BF115" s="2"/>
      <c r="BG115" s="2"/>
      <c r="BH115" s="2"/>
      <c r="BI115" s="2"/>
    </row>
    <row r="116" spans="1:61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  <c r="AJ116" s="2"/>
      <c r="AK116" s="2"/>
      <c r="AL116" s="2"/>
      <c r="AM116" s="2"/>
      <c r="AN116" s="2"/>
      <c r="AO116" s="2"/>
      <c r="AP116" s="2"/>
      <c r="AQ116" s="2"/>
      <c r="AR116" s="2"/>
      <c r="AS116" s="2"/>
      <c r="AT116" s="2"/>
      <c r="AU116" s="2"/>
      <c r="AV116" s="2"/>
      <c r="AW116" s="2"/>
      <c r="AX116" s="2"/>
      <c r="AY116" s="2"/>
      <c r="AZ116" s="2"/>
      <c r="BA116" s="2"/>
      <c r="BB116" s="2"/>
      <c r="BC116" s="2"/>
      <c r="BD116" s="2"/>
      <c r="BE116" s="2"/>
      <c r="BF116" s="2"/>
      <c r="BG116" s="2"/>
      <c r="BH116" s="2"/>
      <c r="BI116" s="2"/>
    </row>
    <row r="117" spans="1:61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  <c r="AJ117" s="2"/>
      <c r="AK117" s="2"/>
      <c r="AL117" s="2"/>
      <c r="AM117" s="2"/>
      <c r="AN117" s="2"/>
      <c r="AO117" s="2"/>
      <c r="AP117" s="2"/>
      <c r="AQ117" s="2"/>
      <c r="AR117" s="2"/>
      <c r="AS117" s="2"/>
      <c r="AT117" s="2"/>
      <c r="AU117" s="2"/>
      <c r="AV117" s="2"/>
      <c r="AW117" s="2"/>
      <c r="AX117" s="2"/>
      <c r="AY117" s="2"/>
      <c r="AZ117" s="2"/>
      <c r="BA117" s="2"/>
      <c r="BB117" s="2"/>
      <c r="BC117" s="2"/>
      <c r="BD117" s="2"/>
      <c r="BE117" s="2"/>
      <c r="BF117" s="2"/>
      <c r="BG117" s="2"/>
      <c r="BH117" s="2"/>
      <c r="BI117" s="2"/>
    </row>
    <row r="118" spans="1:61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  <c r="AJ118" s="2"/>
      <c r="AK118" s="2"/>
      <c r="AL118" s="2"/>
      <c r="AM118" s="2"/>
      <c r="AN118" s="2"/>
      <c r="AO118" s="2"/>
      <c r="AP118" s="2"/>
      <c r="AQ118" s="2"/>
      <c r="AR118" s="2"/>
      <c r="AS118" s="2"/>
      <c r="AT118" s="2"/>
      <c r="AU118" s="2"/>
      <c r="AV118" s="2"/>
      <c r="AW118" s="2"/>
      <c r="AX118" s="2"/>
      <c r="AY118" s="2"/>
      <c r="AZ118" s="2"/>
      <c r="BA118" s="2"/>
      <c r="BB118" s="2"/>
      <c r="BC118" s="2"/>
      <c r="BD118" s="2"/>
      <c r="BE118" s="2"/>
      <c r="BF118" s="2"/>
      <c r="BG118" s="2"/>
      <c r="BH118" s="2"/>
      <c r="BI118" s="2"/>
    </row>
    <row r="119" spans="1:61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  <c r="AJ119" s="2"/>
      <c r="AK119" s="2"/>
      <c r="AL119" s="2"/>
      <c r="AM119" s="2"/>
      <c r="AN119" s="2"/>
      <c r="AO119" s="2"/>
      <c r="AP119" s="2"/>
      <c r="AQ119" s="2"/>
      <c r="AR119" s="2"/>
      <c r="AS119" s="2"/>
      <c r="AT119" s="2"/>
      <c r="AU119" s="2"/>
      <c r="AV119" s="2"/>
      <c r="AW119" s="2"/>
      <c r="AX119" s="2"/>
      <c r="AY119" s="2"/>
      <c r="AZ119" s="2"/>
      <c r="BA119" s="2"/>
      <c r="BB119" s="2"/>
      <c r="BC119" s="2"/>
      <c r="BD119" s="2"/>
      <c r="BE119" s="2"/>
      <c r="BF119" s="2"/>
      <c r="BG119" s="2"/>
      <c r="BH119" s="2"/>
      <c r="BI119" s="2"/>
    </row>
    <row r="120" spans="1:61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  <c r="AJ120" s="2"/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</row>
    <row r="121" spans="1:61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"/>
      <c r="AP121" s="2"/>
      <c r="AQ121" s="2"/>
      <c r="AR121" s="2"/>
      <c r="AS121" s="2"/>
      <c r="AT121" s="2"/>
      <c r="AU121" s="2"/>
      <c r="AV121" s="2"/>
      <c r="AW121" s="2"/>
      <c r="AX121" s="2"/>
      <c r="AY121" s="2"/>
      <c r="AZ121" s="2"/>
      <c r="BA121" s="2"/>
      <c r="BB121" s="2"/>
      <c r="BC121" s="2"/>
      <c r="BD121" s="2"/>
      <c r="BE121" s="2"/>
      <c r="BF121" s="2"/>
      <c r="BG121" s="2"/>
      <c r="BH121" s="2"/>
      <c r="BI121" s="2"/>
    </row>
    <row r="122" spans="1:61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"/>
      <c r="AY122" s="2"/>
      <c r="AZ122" s="2"/>
      <c r="BA122" s="2"/>
      <c r="BB122" s="2"/>
      <c r="BC122" s="2"/>
      <c r="BD122" s="2"/>
      <c r="BE122" s="2"/>
      <c r="BF122" s="2"/>
      <c r="BG122" s="2"/>
      <c r="BH122" s="2"/>
      <c r="BI122" s="2"/>
    </row>
    <row r="123" spans="1:61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  <c r="AJ123" s="2"/>
      <c r="AK123" s="2"/>
      <c r="AL123" s="2"/>
      <c r="AM123" s="2"/>
      <c r="AN123" s="2"/>
      <c r="AO123" s="2"/>
      <c r="AP123" s="2"/>
      <c r="AQ123" s="2"/>
      <c r="AR123" s="2"/>
      <c r="AS123" s="2"/>
      <c r="AT123" s="2"/>
      <c r="AU123" s="2"/>
      <c r="AV123" s="2"/>
      <c r="AW123" s="2"/>
      <c r="AX123" s="2"/>
      <c r="AY123" s="2"/>
      <c r="AZ123" s="2"/>
      <c r="BA123" s="2"/>
      <c r="BB123" s="2"/>
      <c r="BC123" s="2"/>
      <c r="BD123" s="2"/>
      <c r="BE123" s="2"/>
      <c r="BF123" s="2"/>
      <c r="BG123" s="2"/>
      <c r="BH123" s="2"/>
      <c r="BI123" s="2"/>
    </row>
    <row r="124" spans="1:61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"/>
      <c r="AZ124" s="2"/>
      <c r="BA124" s="2"/>
      <c r="BB124" s="2"/>
      <c r="BC124" s="2"/>
      <c r="BD124" s="2"/>
      <c r="BE124" s="2"/>
      <c r="BF124" s="2"/>
      <c r="BG124" s="2"/>
      <c r="BH124" s="2"/>
      <c r="BI124" s="2"/>
    </row>
    <row r="125" spans="1:61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  <c r="AJ125" s="2"/>
      <c r="AK125" s="2"/>
      <c r="AL125" s="2"/>
      <c r="AM125" s="2"/>
      <c r="AN125" s="2"/>
      <c r="AO125" s="2"/>
      <c r="AP125" s="2"/>
      <c r="AQ125" s="2"/>
      <c r="AR125" s="2"/>
      <c r="AS125" s="2"/>
      <c r="AT125" s="2"/>
      <c r="AU125" s="2"/>
      <c r="AV125" s="2"/>
      <c r="AW125" s="2"/>
      <c r="AX125" s="2"/>
      <c r="AY125" s="2"/>
      <c r="AZ125" s="2"/>
      <c r="BA125" s="2"/>
      <c r="BB125" s="2"/>
      <c r="BC125" s="2"/>
      <c r="BD125" s="2"/>
      <c r="BE125" s="2"/>
      <c r="BF125" s="2"/>
      <c r="BG125" s="2"/>
      <c r="BH125" s="2"/>
      <c r="BI125" s="2"/>
    </row>
    <row r="126" spans="1:61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  <c r="AJ126" s="2"/>
      <c r="AK126" s="2"/>
      <c r="AL126" s="2"/>
      <c r="AM126" s="2"/>
      <c r="AN126" s="2"/>
      <c r="AO126" s="2"/>
      <c r="AP126" s="2"/>
      <c r="AQ126" s="2"/>
      <c r="AR126" s="2"/>
      <c r="AS126" s="2"/>
      <c r="AT126" s="2"/>
      <c r="AU126" s="2"/>
      <c r="AV126" s="2"/>
      <c r="AW126" s="2"/>
      <c r="AX126" s="2"/>
      <c r="AY126" s="2"/>
      <c r="AZ126" s="2"/>
      <c r="BA126" s="2"/>
      <c r="BB126" s="2"/>
      <c r="BC126" s="2"/>
      <c r="BD126" s="2"/>
      <c r="BE126" s="2"/>
      <c r="BF126" s="2"/>
      <c r="BG126" s="2"/>
      <c r="BH126" s="2"/>
      <c r="BI126" s="2"/>
    </row>
    <row r="127" spans="1:61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  <c r="AJ127" s="2"/>
      <c r="AK127" s="2"/>
      <c r="AL127" s="2"/>
      <c r="AM127" s="2"/>
      <c r="AN127" s="2"/>
      <c r="AO127" s="2"/>
      <c r="AP127" s="2"/>
      <c r="AQ127" s="2"/>
      <c r="AR127" s="2"/>
      <c r="AS127" s="2"/>
      <c r="AT127" s="2"/>
      <c r="AU127" s="2"/>
      <c r="AV127" s="2"/>
      <c r="AW127" s="2"/>
      <c r="AX127" s="2"/>
      <c r="AY127" s="2"/>
      <c r="AZ127" s="2"/>
      <c r="BA127" s="2"/>
      <c r="BB127" s="2"/>
      <c r="BC127" s="2"/>
      <c r="BD127" s="2"/>
      <c r="BE127" s="2"/>
      <c r="BF127" s="2"/>
      <c r="BG127" s="2"/>
      <c r="BH127" s="2"/>
      <c r="BI127" s="2"/>
    </row>
    <row r="128" spans="1:61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  <c r="AJ128" s="2"/>
      <c r="AK128" s="2"/>
      <c r="AL128" s="2"/>
      <c r="AM128" s="2"/>
      <c r="AN128" s="2"/>
      <c r="AO128" s="2"/>
      <c r="AP128" s="2"/>
      <c r="AQ128" s="2"/>
      <c r="AR128" s="2"/>
      <c r="AS128" s="2"/>
      <c r="AT128" s="2"/>
      <c r="AU128" s="2"/>
      <c r="AV128" s="2"/>
      <c r="AW128" s="2"/>
      <c r="AX128" s="2"/>
      <c r="AY128" s="2"/>
      <c r="AZ128" s="2"/>
      <c r="BA128" s="2"/>
      <c r="BB128" s="2"/>
      <c r="BC128" s="2"/>
      <c r="BD128" s="2"/>
      <c r="BE128" s="2"/>
      <c r="BF128" s="2"/>
      <c r="BG128" s="2"/>
      <c r="BH128" s="2"/>
      <c r="BI128" s="2"/>
    </row>
    <row r="129" spans="1:61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  <c r="AJ129" s="2"/>
      <c r="AK129" s="2"/>
      <c r="AL129" s="2"/>
      <c r="AM129" s="2"/>
      <c r="AN129" s="2"/>
      <c r="AO129" s="2"/>
      <c r="AP129" s="2"/>
      <c r="AQ129" s="2"/>
      <c r="AR129" s="2"/>
      <c r="AS129" s="2"/>
      <c r="AT129" s="2"/>
      <c r="AU129" s="2"/>
      <c r="AV129" s="2"/>
      <c r="AW129" s="2"/>
      <c r="AX129" s="2"/>
      <c r="AY129" s="2"/>
      <c r="AZ129" s="2"/>
      <c r="BA129" s="2"/>
      <c r="BB129" s="2"/>
      <c r="BC129" s="2"/>
      <c r="BD129" s="2"/>
      <c r="BE129" s="2"/>
      <c r="BF129" s="2"/>
      <c r="BG129" s="2"/>
      <c r="BH129" s="2"/>
      <c r="BI129" s="2"/>
    </row>
    <row r="130" spans="1:61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  <c r="AJ130" s="2"/>
      <c r="AK130" s="2"/>
      <c r="AL130" s="2"/>
      <c r="AM130" s="2"/>
      <c r="AN130" s="2"/>
      <c r="AO130" s="2"/>
      <c r="AP130" s="2"/>
      <c r="AQ130" s="2"/>
      <c r="AR130" s="2"/>
      <c r="AS130" s="2"/>
      <c r="AT130" s="2"/>
      <c r="AU130" s="2"/>
      <c r="AV130" s="2"/>
      <c r="AW130" s="2"/>
      <c r="AX130" s="2"/>
      <c r="AY130" s="2"/>
      <c r="AZ130" s="2"/>
      <c r="BA130" s="2"/>
      <c r="BB130" s="2"/>
      <c r="BC130" s="2"/>
      <c r="BD130" s="2"/>
      <c r="BE130" s="2"/>
      <c r="BF130" s="2"/>
      <c r="BG130" s="2"/>
      <c r="BH130" s="2"/>
      <c r="BI130" s="2"/>
    </row>
    <row r="131" spans="1:61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  <c r="AJ131" s="2"/>
      <c r="AK131" s="2"/>
      <c r="AL131" s="2"/>
      <c r="AM131" s="2"/>
      <c r="AN131" s="2"/>
      <c r="AO131" s="2"/>
      <c r="AP131" s="2"/>
      <c r="AQ131" s="2"/>
      <c r="AR131" s="2"/>
      <c r="AS131" s="2"/>
      <c r="AT131" s="2"/>
      <c r="AU131" s="2"/>
      <c r="AV131" s="2"/>
      <c r="AW131" s="2"/>
      <c r="AX131" s="2"/>
      <c r="AY131" s="2"/>
      <c r="AZ131" s="2"/>
      <c r="BA131" s="2"/>
      <c r="BB131" s="2"/>
      <c r="BC131" s="2"/>
      <c r="BD131" s="2"/>
      <c r="BE131" s="2"/>
      <c r="BF131" s="2"/>
      <c r="BG131" s="2"/>
      <c r="BH131" s="2"/>
      <c r="BI131" s="2"/>
    </row>
    <row r="132" spans="1:61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  <c r="AJ132" s="2"/>
      <c r="AK132" s="2"/>
      <c r="AL132" s="2"/>
      <c r="AM132" s="2"/>
      <c r="AN132" s="2"/>
      <c r="AO132" s="2"/>
      <c r="AP132" s="2"/>
      <c r="AQ132" s="2"/>
      <c r="AR132" s="2"/>
      <c r="AS132" s="2"/>
      <c r="AT132" s="2"/>
      <c r="AU132" s="2"/>
      <c r="AV132" s="2"/>
      <c r="AW132" s="2"/>
      <c r="AX132" s="2"/>
      <c r="AY132" s="2"/>
      <c r="AZ132" s="2"/>
      <c r="BA132" s="2"/>
      <c r="BB132" s="2"/>
      <c r="BC132" s="2"/>
      <c r="BD132" s="2"/>
      <c r="BE132" s="2"/>
      <c r="BF132" s="2"/>
      <c r="BG132" s="2"/>
      <c r="BH132" s="2"/>
      <c r="BI132" s="2"/>
    </row>
    <row r="133" spans="1:61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  <c r="AJ133" s="2"/>
      <c r="AK133" s="2"/>
      <c r="AL133" s="2"/>
      <c r="AM133" s="2"/>
      <c r="AN133" s="2"/>
      <c r="AO133" s="2"/>
      <c r="AP133" s="2"/>
      <c r="AQ133" s="2"/>
      <c r="AR133" s="2"/>
      <c r="AS133" s="2"/>
      <c r="AT133" s="2"/>
      <c r="AU133" s="2"/>
      <c r="AV133" s="2"/>
      <c r="AW133" s="2"/>
      <c r="AX133" s="2"/>
      <c r="AY133" s="2"/>
      <c r="AZ133" s="2"/>
      <c r="BA133" s="2"/>
      <c r="BB133" s="2"/>
      <c r="BC133" s="2"/>
      <c r="BD133" s="2"/>
      <c r="BE133" s="2"/>
      <c r="BF133" s="2"/>
      <c r="BG133" s="2"/>
      <c r="BH133" s="2"/>
      <c r="BI133" s="2"/>
    </row>
    <row r="134" spans="1:61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  <c r="AJ134" s="2"/>
      <c r="AK134" s="2"/>
      <c r="AL134" s="2"/>
      <c r="AM134" s="2"/>
      <c r="AN134" s="2"/>
      <c r="AO134" s="2"/>
      <c r="AP134" s="2"/>
      <c r="AQ134" s="2"/>
      <c r="AR134" s="2"/>
      <c r="AS134" s="2"/>
      <c r="AT134" s="2"/>
      <c r="AU134" s="2"/>
      <c r="AV134" s="2"/>
      <c r="AW134" s="2"/>
      <c r="AX134" s="2"/>
      <c r="AY134" s="2"/>
      <c r="AZ134" s="2"/>
      <c r="BA134" s="2"/>
      <c r="BB134" s="2"/>
      <c r="BC134" s="2"/>
      <c r="BD134" s="2"/>
      <c r="BE134" s="2"/>
      <c r="BF134" s="2"/>
      <c r="BG134" s="2"/>
      <c r="BH134" s="2"/>
      <c r="BI134" s="2"/>
    </row>
    <row r="135" spans="1:61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  <c r="AJ135" s="2"/>
      <c r="AK135" s="2"/>
      <c r="AL135" s="2"/>
      <c r="AM135" s="2"/>
      <c r="AN135" s="2"/>
      <c r="AO135" s="2"/>
      <c r="AP135" s="2"/>
      <c r="AQ135" s="2"/>
      <c r="AR135" s="2"/>
      <c r="AS135" s="2"/>
      <c r="AT135" s="2"/>
      <c r="AU135" s="2"/>
      <c r="AV135" s="2"/>
      <c r="AW135" s="2"/>
      <c r="AX135" s="2"/>
      <c r="AY135" s="2"/>
      <c r="AZ135" s="2"/>
      <c r="BA135" s="2"/>
      <c r="BB135" s="2"/>
      <c r="BC135" s="2"/>
      <c r="BD135" s="2"/>
      <c r="BE135" s="2"/>
      <c r="BF135" s="2"/>
      <c r="BG135" s="2"/>
      <c r="BH135" s="2"/>
      <c r="BI135" s="2"/>
    </row>
    <row r="136" spans="1:61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  <c r="AJ136" s="2"/>
      <c r="AK136" s="2"/>
      <c r="AL136" s="2"/>
      <c r="AM136" s="2"/>
      <c r="AN136" s="2"/>
      <c r="AO136" s="2"/>
      <c r="AP136" s="2"/>
      <c r="AQ136" s="2"/>
      <c r="AR136" s="2"/>
      <c r="AS136" s="2"/>
      <c r="AT136" s="2"/>
      <c r="AU136" s="2"/>
      <c r="AV136" s="2"/>
      <c r="AW136" s="2"/>
      <c r="AX136" s="2"/>
      <c r="AY136" s="2"/>
      <c r="AZ136" s="2"/>
      <c r="BA136" s="2"/>
      <c r="BB136" s="2"/>
      <c r="BC136" s="2"/>
      <c r="BD136" s="2"/>
      <c r="BE136" s="2"/>
      <c r="BF136" s="2"/>
      <c r="BG136" s="2"/>
      <c r="BH136" s="2"/>
      <c r="BI136" s="2"/>
    </row>
    <row r="137" spans="1:61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  <c r="AJ137" s="2"/>
      <c r="AK137" s="2"/>
      <c r="AL137" s="2"/>
      <c r="AM137" s="2"/>
      <c r="AN137" s="2"/>
      <c r="AO137" s="2"/>
      <c r="AP137" s="2"/>
      <c r="AQ137" s="2"/>
      <c r="AR137" s="2"/>
      <c r="AS137" s="2"/>
      <c r="AT137" s="2"/>
      <c r="AU137" s="2"/>
      <c r="AV137" s="2"/>
      <c r="AW137" s="2"/>
      <c r="AX137" s="2"/>
      <c r="AY137" s="2"/>
      <c r="AZ137" s="2"/>
      <c r="BA137" s="2"/>
      <c r="BB137" s="2"/>
      <c r="BC137" s="2"/>
      <c r="BD137" s="2"/>
      <c r="BE137" s="2"/>
      <c r="BF137" s="2"/>
      <c r="BG137" s="2"/>
      <c r="BH137" s="2"/>
      <c r="BI137" s="2"/>
    </row>
    <row r="138" spans="1:61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  <c r="AJ138" s="2"/>
      <c r="AK138" s="2"/>
      <c r="AL138" s="2"/>
      <c r="AM138" s="2"/>
      <c r="AN138" s="2"/>
      <c r="AO138" s="2"/>
      <c r="AP138" s="2"/>
      <c r="AQ138" s="2"/>
      <c r="AR138" s="2"/>
      <c r="AS138" s="2"/>
      <c r="AT138" s="2"/>
      <c r="AU138" s="2"/>
      <c r="AV138" s="2"/>
      <c r="AW138" s="2"/>
      <c r="AX138" s="2"/>
      <c r="AY138" s="2"/>
      <c r="AZ138" s="2"/>
      <c r="BA138" s="2"/>
      <c r="BB138" s="2"/>
      <c r="BC138" s="2"/>
      <c r="BD138" s="2"/>
      <c r="BE138" s="2"/>
      <c r="BF138" s="2"/>
      <c r="BG138" s="2"/>
      <c r="BH138" s="2"/>
      <c r="BI138" s="2"/>
    </row>
    <row r="139" spans="1:61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  <c r="AJ139" s="2"/>
      <c r="AK139" s="2"/>
      <c r="AL139" s="2"/>
      <c r="AM139" s="2"/>
      <c r="AN139" s="2"/>
      <c r="AO139" s="2"/>
      <c r="AP139" s="2"/>
      <c r="AQ139" s="2"/>
      <c r="AR139" s="2"/>
      <c r="AS139" s="2"/>
      <c r="AT139" s="2"/>
      <c r="AU139" s="2"/>
      <c r="AV139" s="2"/>
      <c r="AW139" s="2"/>
      <c r="AX139" s="2"/>
      <c r="AY139" s="2"/>
      <c r="AZ139" s="2"/>
      <c r="BA139" s="2"/>
      <c r="BB139" s="2"/>
      <c r="BC139" s="2"/>
      <c r="BD139" s="2"/>
      <c r="BE139" s="2"/>
      <c r="BF139" s="2"/>
      <c r="BG139" s="2"/>
      <c r="BH139" s="2"/>
      <c r="BI139" s="2"/>
    </row>
    <row r="140" spans="1:61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  <c r="AJ140" s="2"/>
      <c r="AK140" s="2"/>
      <c r="AL140" s="2"/>
      <c r="AM140" s="2"/>
      <c r="AN140" s="2"/>
      <c r="AO140" s="2"/>
      <c r="AP140" s="2"/>
      <c r="AQ140" s="2"/>
      <c r="AR140" s="2"/>
      <c r="AS140" s="2"/>
      <c r="AT140" s="2"/>
      <c r="AU140" s="2"/>
      <c r="AV140" s="2"/>
      <c r="AW140" s="2"/>
      <c r="AX140" s="2"/>
      <c r="AY140" s="2"/>
      <c r="AZ140" s="2"/>
      <c r="BA140" s="2"/>
      <c r="BB140" s="2"/>
      <c r="BC140" s="2"/>
      <c r="BD140" s="2"/>
      <c r="BE140" s="2"/>
      <c r="BF140" s="2"/>
      <c r="BG140" s="2"/>
      <c r="BH140" s="2"/>
      <c r="BI140" s="2"/>
    </row>
    <row r="141" spans="1:61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  <c r="AJ141" s="2"/>
      <c r="AK141" s="2"/>
      <c r="AL141" s="2"/>
      <c r="AM141" s="2"/>
      <c r="AN141" s="2"/>
      <c r="AO141" s="2"/>
      <c r="AP141" s="2"/>
      <c r="AQ141" s="2"/>
      <c r="AR141" s="2"/>
      <c r="AS141" s="2"/>
      <c r="AT141" s="2"/>
      <c r="AU141" s="2"/>
      <c r="AV141" s="2"/>
      <c r="AW141" s="2"/>
      <c r="AX141" s="2"/>
      <c r="AY141" s="2"/>
      <c r="AZ141" s="2"/>
      <c r="BA141" s="2"/>
      <c r="BB141" s="2"/>
      <c r="BC141" s="2"/>
      <c r="BD141" s="2"/>
      <c r="BE141" s="2"/>
      <c r="BF141" s="2"/>
      <c r="BG141" s="2"/>
      <c r="BH141" s="2"/>
      <c r="BI141" s="2"/>
    </row>
    <row r="142" spans="1:61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  <c r="AJ142" s="2"/>
      <c r="AK142" s="2"/>
      <c r="AL142" s="2"/>
      <c r="AM142" s="2"/>
      <c r="AN142" s="2"/>
      <c r="AO142" s="2"/>
      <c r="AP142" s="2"/>
      <c r="AQ142" s="2"/>
      <c r="AR142" s="2"/>
      <c r="AS142" s="2"/>
      <c r="AT142" s="2"/>
      <c r="AU142" s="2"/>
      <c r="AV142" s="2"/>
      <c r="AW142" s="2"/>
      <c r="AX142" s="2"/>
      <c r="AY142" s="2"/>
      <c r="AZ142" s="2"/>
      <c r="BA142" s="2"/>
      <c r="BB142" s="2"/>
      <c r="BC142" s="2"/>
      <c r="BD142" s="2"/>
      <c r="BE142" s="2"/>
      <c r="BF142" s="2"/>
      <c r="BG142" s="2"/>
      <c r="BH142" s="2"/>
      <c r="BI142" s="2"/>
    </row>
    <row r="143" spans="1:61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  <c r="AJ143" s="2"/>
      <c r="AK143" s="2"/>
      <c r="AL143" s="2"/>
      <c r="AM143" s="2"/>
      <c r="AN143" s="2"/>
      <c r="AO143" s="2"/>
      <c r="AP143" s="2"/>
      <c r="AQ143" s="2"/>
      <c r="AR143" s="2"/>
      <c r="AS143" s="2"/>
      <c r="AT143" s="2"/>
      <c r="AU143" s="2"/>
      <c r="AV143" s="2"/>
      <c r="AW143" s="2"/>
      <c r="AX143" s="2"/>
      <c r="AY143" s="2"/>
      <c r="AZ143" s="2"/>
      <c r="BA143" s="2"/>
      <c r="BB143" s="2"/>
      <c r="BC143" s="2"/>
      <c r="BD143" s="2"/>
      <c r="BE143" s="2"/>
      <c r="BF143" s="2"/>
      <c r="BG143" s="2"/>
      <c r="BH143" s="2"/>
      <c r="BI143" s="2"/>
    </row>
    <row r="144" spans="1:61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  <c r="AJ144" s="2"/>
      <c r="AK144" s="2"/>
      <c r="AL144" s="2"/>
      <c r="AM144" s="2"/>
      <c r="AN144" s="2"/>
      <c r="AO144" s="2"/>
      <c r="AP144" s="2"/>
      <c r="AQ144" s="2"/>
      <c r="AR144" s="2"/>
      <c r="AS144" s="2"/>
      <c r="AT144" s="2"/>
      <c r="AU144" s="2"/>
      <c r="AV144" s="2"/>
      <c r="AW144" s="2"/>
      <c r="AX144" s="2"/>
      <c r="AY144" s="2"/>
      <c r="AZ144" s="2"/>
      <c r="BA144" s="2"/>
      <c r="BB144" s="2"/>
      <c r="BC144" s="2"/>
      <c r="BD144" s="2"/>
      <c r="BE144" s="2"/>
      <c r="BF144" s="2"/>
      <c r="BG144" s="2"/>
      <c r="BH144" s="2"/>
      <c r="BI144" s="2"/>
    </row>
    <row r="145" spans="1:61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  <c r="AJ145" s="2"/>
      <c r="AK145" s="2"/>
      <c r="AL145" s="2"/>
      <c r="AM145" s="2"/>
      <c r="AN145" s="2"/>
      <c r="AO145" s="2"/>
      <c r="AP145" s="2"/>
      <c r="AQ145" s="2"/>
      <c r="AR145" s="2"/>
      <c r="AS145" s="2"/>
      <c r="AT145" s="2"/>
      <c r="AU145" s="2"/>
      <c r="AV145" s="2"/>
      <c r="AW145" s="2"/>
      <c r="AX145" s="2"/>
      <c r="AY145" s="2"/>
      <c r="AZ145" s="2"/>
      <c r="BA145" s="2"/>
      <c r="BB145" s="2"/>
      <c r="BC145" s="2"/>
      <c r="BD145" s="2"/>
      <c r="BE145" s="2"/>
      <c r="BF145" s="2"/>
      <c r="BG145" s="2"/>
      <c r="BH145" s="2"/>
      <c r="BI145" s="2"/>
    </row>
    <row r="146" spans="1:61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  <c r="AJ146" s="2"/>
      <c r="AK146" s="2"/>
      <c r="AL146" s="2"/>
      <c r="AM146" s="2"/>
      <c r="AN146" s="2"/>
      <c r="AO146" s="2"/>
      <c r="AP146" s="2"/>
      <c r="AQ146" s="2"/>
      <c r="AR146" s="2"/>
      <c r="AS146" s="2"/>
      <c r="AT146" s="2"/>
      <c r="AU146" s="2"/>
      <c r="AV146" s="2"/>
      <c r="AW146" s="2"/>
      <c r="AX146" s="2"/>
      <c r="AY146" s="2"/>
      <c r="AZ146" s="2"/>
      <c r="BA146" s="2"/>
      <c r="BB146" s="2"/>
      <c r="BC146" s="2"/>
      <c r="BD146" s="2"/>
      <c r="BE146" s="2"/>
      <c r="BF146" s="2"/>
      <c r="BG146" s="2"/>
      <c r="BH146" s="2"/>
      <c r="BI146" s="2"/>
    </row>
    <row r="147" spans="1:61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  <c r="AJ147" s="2"/>
      <c r="AK147" s="2"/>
      <c r="AL147" s="2"/>
      <c r="AM147" s="2"/>
      <c r="AN147" s="2"/>
      <c r="AO147" s="2"/>
      <c r="AP147" s="2"/>
      <c r="AQ147" s="2"/>
      <c r="AR147" s="2"/>
      <c r="AS147" s="2"/>
      <c r="AT147" s="2"/>
      <c r="AU147" s="2"/>
      <c r="AV147" s="2"/>
      <c r="AW147" s="2"/>
      <c r="AX147" s="2"/>
      <c r="AY147" s="2"/>
      <c r="AZ147" s="2"/>
      <c r="BA147" s="2"/>
      <c r="BB147" s="2"/>
      <c r="BC147" s="2"/>
      <c r="BD147" s="2"/>
      <c r="BE147" s="2"/>
      <c r="BF147" s="2"/>
      <c r="BG147" s="2"/>
      <c r="BH147" s="2"/>
      <c r="BI147" s="2"/>
    </row>
    <row r="148" spans="1:61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  <c r="AJ148" s="2"/>
      <c r="AK148" s="2"/>
      <c r="AL148" s="2"/>
      <c r="AM148" s="2"/>
      <c r="AN148" s="2"/>
      <c r="AO148" s="2"/>
      <c r="AP148" s="2"/>
      <c r="AQ148" s="2"/>
      <c r="AR148" s="2"/>
      <c r="AS148" s="2"/>
      <c r="AT148" s="2"/>
      <c r="AU148" s="2"/>
      <c r="AV148" s="2"/>
      <c r="AW148" s="2"/>
      <c r="AX148" s="2"/>
      <c r="AY148" s="2"/>
      <c r="AZ148" s="2"/>
      <c r="BA148" s="2"/>
      <c r="BB148" s="2"/>
      <c r="BC148" s="2"/>
      <c r="BD148" s="2"/>
      <c r="BE148" s="2"/>
      <c r="BF148" s="2"/>
      <c r="BG148" s="2"/>
      <c r="BH148" s="2"/>
      <c r="BI148" s="2"/>
    </row>
    <row r="149" spans="1:61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  <c r="AJ149" s="2"/>
      <c r="AK149" s="2"/>
      <c r="AL149" s="2"/>
      <c r="AM149" s="2"/>
      <c r="AN149" s="2"/>
      <c r="AO149" s="2"/>
      <c r="AP149" s="2"/>
      <c r="AQ149" s="2"/>
      <c r="AR149" s="2"/>
      <c r="AS149" s="2"/>
      <c r="AT149" s="2"/>
      <c r="AU149" s="2"/>
      <c r="AV149" s="2"/>
      <c r="AW149" s="2"/>
      <c r="AX149" s="2"/>
      <c r="AY149" s="2"/>
      <c r="AZ149" s="2"/>
      <c r="BA149" s="2"/>
      <c r="BB149" s="2"/>
      <c r="BC149" s="2"/>
      <c r="BD149" s="2"/>
      <c r="BE149" s="2"/>
      <c r="BF149" s="2"/>
      <c r="BG149" s="2"/>
      <c r="BH149" s="2"/>
      <c r="BI149" s="2"/>
    </row>
    <row r="150" spans="1:61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  <c r="AA150" s="2"/>
      <c r="AB150" s="2"/>
      <c r="AC150" s="2"/>
      <c r="AD150" s="2"/>
      <c r="AE150" s="2"/>
      <c r="AF150" s="2"/>
      <c r="AG150" s="2"/>
      <c r="AH150" s="2"/>
      <c r="AI150" s="2"/>
      <c r="AJ150" s="2"/>
      <c r="AK150" s="2"/>
      <c r="AL150" s="2"/>
      <c r="AM150" s="2"/>
      <c r="AN150" s="2"/>
      <c r="AO150" s="2"/>
      <c r="AP150" s="2"/>
      <c r="AQ150" s="2"/>
      <c r="AR150" s="2"/>
      <c r="AS150" s="2"/>
      <c r="AT150" s="2"/>
      <c r="AU150" s="2"/>
      <c r="AV150" s="2"/>
      <c r="AW150" s="2"/>
      <c r="AX150" s="2"/>
      <c r="AY150" s="2"/>
      <c r="AZ150" s="2"/>
      <c r="BA150" s="2"/>
      <c r="BB150" s="2"/>
      <c r="BC150" s="2"/>
      <c r="BD150" s="2"/>
      <c r="BE150" s="2"/>
      <c r="BF150" s="2"/>
      <c r="BG150" s="2"/>
      <c r="BH150" s="2"/>
      <c r="BI150" s="2"/>
    </row>
    <row r="151" spans="1:61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  <c r="AJ151" s="2"/>
      <c r="AK151" s="2"/>
      <c r="AL151" s="2"/>
      <c r="AM151" s="2"/>
      <c r="AN151" s="2"/>
      <c r="AO151" s="2"/>
      <c r="AP151" s="2"/>
      <c r="AQ151" s="2"/>
      <c r="AR151" s="2"/>
      <c r="AS151" s="2"/>
      <c r="AT151" s="2"/>
      <c r="AU151" s="2"/>
      <c r="AV151" s="2"/>
      <c r="AW151" s="2"/>
      <c r="AX151" s="2"/>
      <c r="AY151" s="2"/>
      <c r="AZ151" s="2"/>
      <c r="BA151" s="2"/>
      <c r="BB151" s="2"/>
      <c r="BC151" s="2"/>
      <c r="BD151" s="2"/>
      <c r="BE151" s="2"/>
      <c r="BF151" s="2"/>
      <c r="BG151" s="2"/>
      <c r="BH151" s="2"/>
      <c r="BI151" s="2"/>
    </row>
    <row r="152" spans="1:61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  <c r="AJ152" s="2"/>
      <c r="AK152" s="2"/>
      <c r="AL152" s="2"/>
      <c r="AM152" s="2"/>
      <c r="AN152" s="2"/>
      <c r="AO152" s="2"/>
      <c r="AP152" s="2"/>
      <c r="AQ152" s="2"/>
      <c r="AR152" s="2"/>
      <c r="AS152" s="2"/>
      <c r="AT152" s="2"/>
      <c r="AU152" s="2"/>
      <c r="AV152" s="2"/>
      <c r="AW152" s="2"/>
      <c r="AX152" s="2"/>
      <c r="AY152" s="2"/>
      <c r="AZ152" s="2"/>
      <c r="BA152" s="2"/>
      <c r="BB152" s="2"/>
      <c r="BC152" s="2"/>
      <c r="BD152" s="2"/>
      <c r="BE152" s="2"/>
      <c r="BF152" s="2"/>
      <c r="BG152" s="2"/>
      <c r="BH152" s="2"/>
      <c r="BI152" s="2"/>
    </row>
    <row r="153" spans="1:61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  <c r="AJ153" s="2"/>
      <c r="AK153" s="2"/>
      <c r="AL153" s="2"/>
      <c r="AM153" s="2"/>
      <c r="AN153" s="2"/>
      <c r="AO153" s="2"/>
      <c r="AP153" s="2"/>
      <c r="AQ153" s="2"/>
      <c r="AR153" s="2"/>
      <c r="AS153" s="2"/>
      <c r="AT153" s="2"/>
      <c r="AU153" s="2"/>
      <c r="AV153" s="2"/>
      <c r="AW153" s="2"/>
      <c r="AX153" s="2"/>
      <c r="AY153" s="2"/>
      <c r="AZ153" s="2"/>
      <c r="BA153" s="2"/>
      <c r="BB153" s="2"/>
      <c r="BC153" s="2"/>
      <c r="BD153" s="2"/>
      <c r="BE153" s="2"/>
      <c r="BF153" s="2"/>
      <c r="BG153" s="2"/>
      <c r="BH153" s="2"/>
      <c r="BI153" s="2"/>
    </row>
    <row r="154" spans="1:61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  <c r="AJ154" s="2"/>
      <c r="AK154" s="2"/>
      <c r="AL154" s="2"/>
      <c r="AM154" s="2"/>
      <c r="AN154" s="2"/>
      <c r="AO154" s="2"/>
      <c r="AP154" s="2"/>
      <c r="AQ154" s="2"/>
      <c r="AR154" s="2"/>
      <c r="AS154" s="2"/>
      <c r="AT154" s="2"/>
      <c r="AU154" s="2"/>
      <c r="AV154" s="2"/>
      <c r="AW154" s="2"/>
      <c r="AX154" s="2"/>
      <c r="AY154" s="2"/>
      <c r="AZ154" s="2"/>
      <c r="BA154" s="2"/>
      <c r="BB154" s="2"/>
      <c r="BC154" s="2"/>
      <c r="BD154" s="2"/>
      <c r="BE154" s="2"/>
      <c r="BF154" s="2"/>
      <c r="BG154" s="2"/>
      <c r="BH154" s="2"/>
      <c r="BI154" s="2"/>
    </row>
    <row r="155" spans="1:61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  <c r="AJ155" s="2"/>
      <c r="AK155" s="2"/>
      <c r="AL155" s="2"/>
      <c r="AM155" s="2"/>
      <c r="AN155" s="2"/>
      <c r="AO155" s="2"/>
      <c r="AP155" s="2"/>
      <c r="AQ155" s="2"/>
      <c r="AR155" s="2"/>
      <c r="AS155" s="2"/>
      <c r="AT155" s="2"/>
      <c r="AU155" s="2"/>
      <c r="AV155" s="2"/>
      <c r="AW155" s="2"/>
      <c r="AX155" s="2"/>
      <c r="AY155" s="2"/>
      <c r="AZ155" s="2"/>
      <c r="BA155" s="2"/>
      <c r="BB155" s="2"/>
      <c r="BC155" s="2"/>
      <c r="BD155" s="2"/>
      <c r="BE155" s="2"/>
      <c r="BF155" s="2"/>
      <c r="BG155" s="2"/>
      <c r="BH155" s="2"/>
      <c r="BI155" s="2"/>
    </row>
    <row r="156" spans="1:61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  <c r="AJ156" s="2"/>
      <c r="AK156" s="2"/>
      <c r="AL156" s="2"/>
      <c r="AM156" s="2"/>
      <c r="AN156" s="2"/>
      <c r="AO156" s="2"/>
      <c r="AP156" s="2"/>
      <c r="AQ156" s="2"/>
      <c r="AR156" s="2"/>
      <c r="AS156" s="2"/>
      <c r="AT156" s="2"/>
      <c r="AU156" s="2"/>
      <c r="AV156" s="2"/>
      <c r="AW156" s="2"/>
      <c r="AX156" s="2"/>
      <c r="AY156" s="2"/>
      <c r="AZ156" s="2"/>
      <c r="BA156" s="2"/>
      <c r="BB156" s="2"/>
      <c r="BC156" s="2"/>
      <c r="BD156" s="2"/>
      <c r="BE156" s="2"/>
      <c r="BF156" s="2"/>
      <c r="BG156" s="2"/>
      <c r="BH156" s="2"/>
      <c r="BI156" s="2"/>
    </row>
    <row r="157" spans="1:61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  <c r="AJ157" s="2"/>
      <c r="AK157" s="2"/>
      <c r="AL157" s="2"/>
      <c r="AM157" s="2"/>
      <c r="AN157" s="2"/>
      <c r="AO157" s="2"/>
      <c r="AP157" s="2"/>
      <c r="AQ157" s="2"/>
      <c r="AR157" s="2"/>
      <c r="AS157" s="2"/>
      <c r="AT157" s="2"/>
      <c r="AU157" s="2"/>
      <c r="AV157" s="2"/>
      <c r="AW157" s="2"/>
      <c r="AX157" s="2"/>
      <c r="AY157" s="2"/>
      <c r="AZ157" s="2"/>
      <c r="BA157" s="2"/>
      <c r="BB157" s="2"/>
      <c r="BC157" s="2"/>
      <c r="BD157" s="2"/>
      <c r="BE157" s="2"/>
      <c r="BF157" s="2"/>
      <c r="BG157" s="2"/>
      <c r="BH157" s="2"/>
      <c r="BI157" s="2"/>
    </row>
    <row r="158" spans="1:61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  <c r="AJ158" s="2"/>
      <c r="AK158" s="2"/>
      <c r="AL158" s="2"/>
      <c r="AM158" s="2"/>
      <c r="AN158" s="2"/>
      <c r="AO158" s="2"/>
      <c r="AP158" s="2"/>
      <c r="AQ158" s="2"/>
      <c r="AR158" s="2"/>
      <c r="AS158" s="2"/>
      <c r="AT158" s="2"/>
      <c r="AU158" s="2"/>
      <c r="AV158" s="2"/>
      <c r="AW158" s="2"/>
      <c r="AX158" s="2"/>
      <c r="AY158" s="2"/>
      <c r="AZ158" s="2"/>
      <c r="BA158" s="2"/>
      <c r="BB158" s="2"/>
      <c r="BC158" s="2"/>
      <c r="BD158" s="2"/>
      <c r="BE158" s="2"/>
      <c r="BF158" s="2"/>
      <c r="BG158" s="2"/>
      <c r="BH158" s="2"/>
      <c r="BI158" s="2"/>
    </row>
    <row r="159" spans="1:61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  <c r="AJ159" s="2"/>
      <c r="AK159" s="2"/>
      <c r="AL159" s="2"/>
      <c r="AM159" s="2"/>
      <c r="AN159" s="2"/>
      <c r="AO159" s="2"/>
      <c r="AP159" s="2"/>
      <c r="AQ159" s="2"/>
      <c r="AR159" s="2"/>
      <c r="AS159" s="2"/>
      <c r="AT159" s="2"/>
      <c r="AU159" s="2"/>
      <c r="AV159" s="2"/>
      <c r="AW159" s="2"/>
      <c r="AX159" s="2"/>
      <c r="AY159" s="2"/>
      <c r="AZ159" s="2"/>
      <c r="BA159" s="2"/>
      <c r="BB159" s="2"/>
      <c r="BC159" s="2"/>
      <c r="BD159" s="2"/>
      <c r="BE159" s="2"/>
      <c r="BF159" s="2"/>
      <c r="BG159" s="2"/>
      <c r="BH159" s="2"/>
      <c r="BI159" s="2"/>
    </row>
    <row r="160" spans="1:61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  <c r="AJ160" s="2"/>
      <c r="AK160" s="2"/>
      <c r="AL160" s="2"/>
      <c r="AM160" s="2"/>
      <c r="AN160" s="2"/>
      <c r="AO160" s="2"/>
      <c r="AP160" s="2"/>
      <c r="AQ160" s="2"/>
      <c r="AR160" s="2"/>
      <c r="AS160" s="2"/>
      <c r="AT160" s="2"/>
      <c r="AU160" s="2"/>
      <c r="AV160" s="2"/>
      <c r="AW160" s="2"/>
      <c r="AX160" s="2"/>
      <c r="AY160" s="2"/>
      <c r="AZ160" s="2"/>
      <c r="BA160" s="2"/>
      <c r="BB160" s="2"/>
      <c r="BC160" s="2"/>
      <c r="BD160" s="2"/>
      <c r="BE160" s="2"/>
      <c r="BF160" s="2"/>
      <c r="BG160" s="2"/>
      <c r="BH160" s="2"/>
      <c r="BI160" s="2"/>
    </row>
    <row r="161" spans="1:61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  <c r="AJ161" s="2"/>
      <c r="AK161" s="2"/>
      <c r="AL161" s="2"/>
      <c r="AM161" s="2"/>
      <c r="AN161" s="2"/>
      <c r="AO161" s="2"/>
      <c r="AP161" s="2"/>
      <c r="AQ161" s="2"/>
      <c r="AR161" s="2"/>
      <c r="AS161" s="2"/>
      <c r="AT161" s="2"/>
      <c r="AU161" s="2"/>
      <c r="AV161" s="2"/>
      <c r="AW161" s="2"/>
      <c r="AX161" s="2"/>
      <c r="AY161" s="2"/>
      <c r="AZ161" s="2"/>
      <c r="BA161" s="2"/>
      <c r="BB161" s="2"/>
      <c r="BC161" s="2"/>
      <c r="BD161" s="2"/>
      <c r="BE161" s="2"/>
      <c r="BF161" s="2"/>
      <c r="BG161" s="2"/>
      <c r="BH161" s="2"/>
      <c r="BI161" s="2"/>
    </row>
    <row r="162" spans="1:61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  <c r="AJ162" s="2"/>
      <c r="AK162" s="2"/>
      <c r="AL162" s="2"/>
      <c r="AM162" s="2"/>
      <c r="AN162" s="2"/>
      <c r="AO162" s="2"/>
      <c r="AP162" s="2"/>
      <c r="AQ162" s="2"/>
      <c r="AR162" s="2"/>
      <c r="AS162" s="2"/>
      <c r="AT162" s="2"/>
      <c r="AU162" s="2"/>
      <c r="AV162" s="2"/>
      <c r="AW162" s="2"/>
      <c r="AX162" s="2"/>
      <c r="AY162" s="2"/>
      <c r="AZ162" s="2"/>
      <c r="BA162" s="2"/>
      <c r="BB162" s="2"/>
      <c r="BC162" s="2"/>
      <c r="BD162" s="2"/>
      <c r="BE162" s="2"/>
      <c r="BF162" s="2"/>
      <c r="BG162" s="2"/>
      <c r="BH162" s="2"/>
      <c r="BI162" s="2"/>
    </row>
    <row r="163" spans="1:61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  <c r="AJ163" s="2"/>
      <c r="AK163" s="2"/>
      <c r="AL163" s="2"/>
      <c r="AM163" s="2"/>
      <c r="AN163" s="2"/>
      <c r="AO163" s="2"/>
      <c r="AP163" s="2"/>
      <c r="AQ163" s="2"/>
      <c r="AR163" s="2"/>
      <c r="AS163" s="2"/>
      <c r="AT163" s="2"/>
      <c r="AU163" s="2"/>
      <c r="AV163" s="2"/>
      <c r="AW163" s="2"/>
      <c r="AX163" s="2"/>
      <c r="AY163" s="2"/>
      <c r="AZ163" s="2"/>
      <c r="BA163" s="2"/>
      <c r="BB163" s="2"/>
      <c r="BC163" s="2"/>
      <c r="BD163" s="2"/>
      <c r="BE163" s="2"/>
      <c r="BF163" s="2"/>
      <c r="BG163" s="2"/>
      <c r="BH163" s="2"/>
      <c r="BI163" s="2"/>
    </row>
    <row r="164" spans="1:61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  <c r="AJ164" s="2"/>
      <c r="AK164" s="2"/>
      <c r="AL164" s="2"/>
      <c r="AM164" s="2"/>
      <c r="AN164" s="2"/>
      <c r="AO164" s="2"/>
      <c r="AP164" s="2"/>
      <c r="AQ164" s="2"/>
      <c r="AR164" s="2"/>
      <c r="AS164" s="2"/>
      <c r="AT164" s="2"/>
      <c r="AU164" s="2"/>
      <c r="AV164" s="2"/>
      <c r="AW164" s="2"/>
      <c r="AX164" s="2"/>
      <c r="AY164" s="2"/>
      <c r="AZ164" s="2"/>
      <c r="BA164" s="2"/>
      <c r="BB164" s="2"/>
      <c r="BC164" s="2"/>
      <c r="BD164" s="2"/>
      <c r="BE164" s="2"/>
      <c r="BF164" s="2"/>
      <c r="BG164" s="2"/>
      <c r="BH164" s="2"/>
      <c r="BI164" s="2"/>
    </row>
    <row r="165" spans="1:61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  <c r="AJ165" s="2"/>
      <c r="AK165" s="2"/>
      <c r="AL165" s="2"/>
      <c r="AM165" s="2"/>
      <c r="AN165" s="2"/>
      <c r="AO165" s="2"/>
      <c r="AP165" s="2"/>
      <c r="AQ165" s="2"/>
      <c r="AR165" s="2"/>
      <c r="AS165" s="2"/>
      <c r="AT165" s="2"/>
      <c r="AU165" s="2"/>
      <c r="AV165" s="2"/>
      <c r="AW165" s="2"/>
      <c r="AX165" s="2"/>
      <c r="AY165" s="2"/>
      <c r="AZ165" s="2"/>
      <c r="BA165" s="2"/>
      <c r="BB165" s="2"/>
      <c r="BC165" s="2"/>
      <c r="BD165" s="2"/>
      <c r="BE165" s="2"/>
      <c r="BF165" s="2"/>
      <c r="BG165" s="2"/>
      <c r="BH165" s="2"/>
      <c r="BI165" s="2"/>
    </row>
    <row r="166" spans="1:61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  <c r="AJ166" s="2"/>
      <c r="AK166" s="2"/>
      <c r="AL166" s="2"/>
      <c r="AM166" s="2"/>
      <c r="AN166" s="2"/>
      <c r="AO166" s="2"/>
      <c r="AP166" s="2"/>
      <c r="AQ166" s="2"/>
      <c r="AR166" s="2"/>
      <c r="AS166" s="2"/>
      <c r="AT166" s="2"/>
      <c r="AU166" s="2"/>
      <c r="AV166" s="2"/>
      <c r="AW166" s="2"/>
      <c r="AX166" s="2"/>
      <c r="AY166" s="2"/>
      <c r="AZ166" s="2"/>
      <c r="BA166" s="2"/>
      <c r="BB166" s="2"/>
      <c r="BC166" s="2"/>
      <c r="BD166" s="2"/>
      <c r="BE166" s="2"/>
      <c r="BF166" s="2"/>
      <c r="BG166" s="2"/>
      <c r="BH166" s="2"/>
      <c r="BI166" s="2"/>
    </row>
    <row r="167" spans="1:61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  <c r="AJ167" s="2"/>
      <c r="AK167" s="2"/>
      <c r="AL167" s="2"/>
      <c r="AM167" s="2"/>
      <c r="AN167" s="2"/>
      <c r="AO167" s="2"/>
      <c r="AP167" s="2"/>
      <c r="AQ167" s="2"/>
      <c r="AR167" s="2"/>
      <c r="AS167" s="2"/>
      <c r="AT167" s="2"/>
      <c r="AU167" s="2"/>
      <c r="AV167" s="2"/>
      <c r="AW167" s="2"/>
      <c r="AX167" s="2"/>
      <c r="AY167" s="2"/>
      <c r="AZ167" s="2"/>
      <c r="BA167" s="2"/>
      <c r="BB167" s="2"/>
      <c r="BC167" s="2"/>
      <c r="BD167" s="2"/>
      <c r="BE167" s="2"/>
      <c r="BF167" s="2"/>
      <c r="BG167" s="2"/>
      <c r="BH167" s="2"/>
      <c r="BI167" s="2"/>
    </row>
    <row r="168" spans="1:61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  <c r="AJ168" s="2"/>
      <c r="AK168" s="2"/>
      <c r="AL168" s="2"/>
      <c r="AM168" s="2"/>
      <c r="AN168" s="2"/>
      <c r="AO168" s="2"/>
      <c r="AP168" s="2"/>
      <c r="AQ168" s="2"/>
      <c r="AR168" s="2"/>
      <c r="AS168" s="2"/>
      <c r="AT168" s="2"/>
      <c r="AU168" s="2"/>
      <c r="AV168" s="2"/>
      <c r="AW168" s="2"/>
      <c r="AX168" s="2"/>
      <c r="AY168" s="2"/>
      <c r="AZ168" s="2"/>
      <c r="BA168" s="2"/>
      <c r="BB168" s="2"/>
      <c r="BC168" s="2"/>
      <c r="BD168" s="2"/>
      <c r="BE168" s="2"/>
      <c r="BF168" s="2"/>
      <c r="BG168" s="2"/>
      <c r="BH168" s="2"/>
      <c r="BI168" s="2"/>
    </row>
    <row r="169" spans="1:61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  <c r="AJ169" s="2"/>
      <c r="AK169" s="2"/>
      <c r="AL169" s="2"/>
      <c r="AM169" s="2"/>
      <c r="AN169" s="2"/>
      <c r="AO169" s="2"/>
      <c r="AP169" s="2"/>
      <c r="AQ169" s="2"/>
      <c r="AR169" s="2"/>
      <c r="AS169" s="2"/>
      <c r="AT169" s="2"/>
      <c r="AU169" s="2"/>
      <c r="AV169" s="2"/>
      <c r="AW169" s="2"/>
      <c r="AX169" s="2"/>
      <c r="AY169" s="2"/>
      <c r="AZ169" s="2"/>
      <c r="BA169" s="2"/>
      <c r="BB169" s="2"/>
      <c r="BC169" s="2"/>
      <c r="BD169" s="2"/>
      <c r="BE169" s="2"/>
      <c r="BF169" s="2"/>
      <c r="BG169" s="2"/>
      <c r="BH169" s="2"/>
      <c r="BI169" s="2"/>
    </row>
    <row r="170" spans="1:61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  <c r="AJ170" s="2"/>
      <c r="AK170" s="2"/>
      <c r="AL170" s="2"/>
      <c r="AM170" s="2"/>
      <c r="AN170" s="2"/>
      <c r="AO170" s="2"/>
      <c r="AP170" s="2"/>
      <c r="AQ170" s="2"/>
      <c r="AR170" s="2"/>
      <c r="AS170" s="2"/>
      <c r="AT170" s="2"/>
      <c r="AU170" s="2"/>
      <c r="AV170" s="2"/>
      <c r="AW170" s="2"/>
      <c r="AX170" s="2"/>
      <c r="AY170" s="2"/>
      <c r="AZ170" s="2"/>
      <c r="BA170" s="2"/>
      <c r="BB170" s="2"/>
      <c r="BC170" s="2"/>
      <c r="BD170" s="2"/>
      <c r="BE170" s="2"/>
      <c r="BF170" s="2"/>
      <c r="BG170" s="2"/>
      <c r="BH170" s="2"/>
      <c r="BI170" s="2"/>
    </row>
    <row r="171" spans="1:61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  <c r="AJ171" s="2"/>
      <c r="AK171" s="2"/>
      <c r="AL171" s="2"/>
      <c r="AM171" s="2"/>
      <c r="AN171" s="2"/>
      <c r="AO171" s="2"/>
      <c r="AP171" s="2"/>
      <c r="AQ171" s="2"/>
      <c r="AR171" s="2"/>
      <c r="AS171" s="2"/>
      <c r="AT171" s="2"/>
      <c r="AU171" s="2"/>
      <c r="AV171" s="2"/>
      <c r="AW171" s="2"/>
      <c r="AX171" s="2"/>
      <c r="AY171" s="2"/>
      <c r="AZ171" s="2"/>
      <c r="BA171" s="2"/>
      <c r="BB171" s="2"/>
      <c r="BC171" s="2"/>
      <c r="BD171" s="2"/>
      <c r="BE171" s="2"/>
      <c r="BF171" s="2"/>
      <c r="BG171" s="2"/>
      <c r="BH171" s="2"/>
      <c r="BI171" s="2"/>
    </row>
    <row r="172" spans="1:61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  <c r="AJ172" s="2"/>
      <c r="AK172" s="2"/>
      <c r="AL172" s="2"/>
      <c r="AM172" s="2"/>
      <c r="AN172" s="2"/>
      <c r="AO172" s="2"/>
      <c r="AP172" s="2"/>
      <c r="AQ172" s="2"/>
      <c r="AR172" s="2"/>
      <c r="AS172" s="2"/>
      <c r="AT172" s="2"/>
      <c r="AU172" s="2"/>
      <c r="AV172" s="2"/>
      <c r="AW172" s="2"/>
      <c r="AX172" s="2"/>
      <c r="AY172" s="2"/>
      <c r="AZ172" s="2"/>
      <c r="BA172" s="2"/>
      <c r="BB172" s="2"/>
      <c r="BC172" s="2"/>
      <c r="BD172" s="2"/>
      <c r="BE172" s="2"/>
      <c r="BF172" s="2"/>
      <c r="BG172" s="2"/>
      <c r="BH172" s="2"/>
      <c r="BI172" s="2"/>
    </row>
    <row r="173" spans="1:61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  <c r="AJ173" s="2"/>
      <c r="AK173" s="2"/>
      <c r="AL173" s="2"/>
      <c r="AM173" s="2"/>
      <c r="AN173" s="2"/>
      <c r="AO173" s="2"/>
      <c r="AP173" s="2"/>
      <c r="AQ173" s="2"/>
      <c r="AR173" s="2"/>
      <c r="AS173" s="2"/>
      <c r="AT173" s="2"/>
      <c r="AU173" s="2"/>
      <c r="AV173" s="2"/>
      <c r="AW173" s="2"/>
      <c r="AX173" s="2"/>
      <c r="AY173" s="2"/>
      <c r="AZ173" s="2"/>
      <c r="BA173" s="2"/>
      <c r="BB173" s="2"/>
      <c r="BC173" s="2"/>
      <c r="BD173" s="2"/>
      <c r="BE173" s="2"/>
      <c r="BF173" s="2"/>
      <c r="BG173" s="2"/>
      <c r="BH173" s="2"/>
      <c r="BI173" s="2"/>
    </row>
    <row r="174" spans="1:61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  <c r="AJ174" s="2"/>
      <c r="AK174" s="2"/>
      <c r="AL174" s="2"/>
      <c r="AM174" s="2"/>
      <c r="AN174" s="2"/>
      <c r="AO174" s="2"/>
      <c r="AP174" s="2"/>
      <c r="AQ174" s="2"/>
      <c r="AR174" s="2"/>
      <c r="AS174" s="2"/>
      <c r="AT174" s="2"/>
      <c r="AU174" s="2"/>
      <c r="AV174" s="2"/>
      <c r="AW174" s="2"/>
      <c r="AX174" s="2"/>
      <c r="AY174" s="2"/>
      <c r="AZ174" s="2"/>
      <c r="BA174" s="2"/>
      <c r="BB174" s="2"/>
      <c r="BC174" s="2"/>
      <c r="BD174" s="2"/>
      <c r="BE174" s="2"/>
      <c r="BF174" s="2"/>
      <c r="BG174" s="2"/>
      <c r="BH174" s="2"/>
      <c r="BI174" s="2"/>
    </row>
    <row r="175" spans="1:61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  <c r="AJ175" s="2"/>
      <c r="AK175" s="2"/>
      <c r="AL175" s="2"/>
      <c r="AM175" s="2"/>
      <c r="AN175" s="2"/>
      <c r="AO175" s="2"/>
      <c r="AP175" s="2"/>
      <c r="AQ175" s="2"/>
      <c r="AR175" s="2"/>
      <c r="AS175" s="2"/>
      <c r="AT175" s="2"/>
      <c r="AU175" s="2"/>
      <c r="AV175" s="2"/>
      <c r="AW175" s="2"/>
      <c r="AX175" s="2"/>
      <c r="AY175" s="2"/>
      <c r="AZ175" s="2"/>
      <c r="BA175" s="2"/>
      <c r="BB175" s="2"/>
      <c r="BC175" s="2"/>
      <c r="BD175" s="2"/>
      <c r="BE175" s="2"/>
      <c r="BF175" s="2"/>
      <c r="BG175" s="2"/>
      <c r="BH175" s="2"/>
      <c r="BI175" s="2"/>
    </row>
    <row r="176" spans="1:61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  <c r="AJ176" s="2"/>
      <c r="AK176" s="2"/>
      <c r="AL176" s="2"/>
      <c r="AM176" s="2"/>
      <c r="AN176" s="2"/>
      <c r="AO176" s="2"/>
      <c r="AP176" s="2"/>
      <c r="AQ176" s="2"/>
      <c r="AR176" s="2"/>
      <c r="AS176" s="2"/>
      <c r="AT176" s="2"/>
      <c r="AU176" s="2"/>
      <c r="AV176" s="2"/>
      <c r="AW176" s="2"/>
      <c r="AX176" s="2"/>
      <c r="AY176" s="2"/>
      <c r="AZ176" s="2"/>
      <c r="BA176" s="2"/>
      <c r="BB176" s="2"/>
      <c r="BC176" s="2"/>
      <c r="BD176" s="2"/>
      <c r="BE176" s="2"/>
      <c r="BF176" s="2"/>
      <c r="BG176" s="2"/>
      <c r="BH176" s="2"/>
      <c r="BI176" s="2"/>
    </row>
    <row r="177" spans="1:61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  <c r="AJ177" s="2"/>
      <c r="AK177" s="2"/>
      <c r="AL177" s="2"/>
      <c r="AM177" s="2"/>
      <c r="AN177" s="2"/>
      <c r="AO177" s="2"/>
      <c r="AP177" s="2"/>
      <c r="AQ177" s="2"/>
      <c r="AR177" s="2"/>
      <c r="AS177" s="2"/>
      <c r="AT177" s="2"/>
      <c r="AU177" s="2"/>
      <c r="AV177" s="2"/>
      <c r="AW177" s="2"/>
      <c r="AX177" s="2"/>
      <c r="AY177" s="2"/>
      <c r="AZ177" s="2"/>
      <c r="BA177" s="2"/>
      <c r="BB177" s="2"/>
      <c r="BC177" s="2"/>
      <c r="BD177" s="2"/>
      <c r="BE177" s="2"/>
      <c r="BF177" s="2"/>
      <c r="BG177" s="2"/>
      <c r="BH177" s="2"/>
      <c r="BI177" s="2"/>
    </row>
    <row r="178" spans="1:61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  <c r="AJ178" s="2"/>
      <c r="AK178" s="2"/>
      <c r="AL178" s="2"/>
      <c r="AM178" s="2"/>
      <c r="AN178" s="2"/>
      <c r="AO178" s="2"/>
      <c r="AP178" s="2"/>
      <c r="AQ178" s="2"/>
      <c r="AR178" s="2"/>
      <c r="AS178" s="2"/>
      <c r="AT178" s="2"/>
      <c r="AU178" s="2"/>
      <c r="AV178" s="2"/>
      <c r="AW178" s="2"/>
      <c r="AX178" s="2"/>
      <c r="AY178" s="2"/>
      <c r="AZ178" s="2"/>
      <c r="BA178" s="2"/>
      <c r="BB178" s="2"/>
      <c r="BC178" s="2"/>
      <c r="BD178" s="2"/>
      <c r="BE178" s="2"/>
      <c r="BF178" s="2"/>
      <c r="BG178" s="2"/>
      <c r="BH178" s="2"/>
      <c r="BI178" s="2"/>
    </row>
    <row r="179" spans="1:61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  <c r="AJ179" s="2"/>
      <c r="AK179" s="2"/>
      <c r="AL179" s="2"/>
      <c r="AM179" s="2"/>
      <c r="AN179" s="2"/>
      <c r="AO179" s="2"/>
      <c r="AP179" s="2"/>
      <c r="AQ179" s="2"/>
      <c r="AR179" s="2"/>
      <c r="AS179" s="2"/>
      <c r="AT179" s="2"/>
      <c r="AU179" s="2"/>
      <c r="AV179" s="2"/>
      <c r="AW179" s="2"/>
      <c r="AX179" s="2"/>
      <c r="AY179" s="2"/>
      <c r="AZ179" s="2"/>
      <c r="BA179" s="2"/>
      <c r="BB179" s="2"/>
      <c r="BC179" s="2"/>
      <c r="BD179" s="2"/>
      <c r="BE179" s="2"/>
      <c r="BF179" s="2"/>
      <c r="BG179" s="2"/>
      <c r="BH179" s="2"/>
      <c r="BI179" s="2"/>
    </row>
    <row r="180" spans="1:61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  <c r="AJ180" s="2"/>
      <c r="AK180" s="2"/>
      <c r="AL180" s="2"/>
      <c r="AM180" s="2"/>
      <c r="AN180" s="2"/>
      <c r="AO180" s="2"/>
      <c r="AP180" s="2"/>
      <c r="AQ180" s="2"/>
      <c r="AR180" s="2"/>
      <c r="AS180" s="2"/>
      <c r="AT180" s="2"/>
      <c r="AU180" s="2"/>
      <c r="AV180" s="2"/>
      <c r="AW180" s="2"/>
      <c r="AX180" s="2"/>
      <c r="AY180" s="2"/>
      <c r="AZ180" s="2"/>
      <c r="BA180" s="2"/>
      <c r="BB180" s="2"/>
      <c r="BC180" s="2"/>
      <c r="BD180" s="2"/>
      <c r="BE180" s="2"/>
      <c r="BF180" s="2"/>
      <c r="BG180" s="2"/>
      <c r="BH180" s="2"/>
      <c r="BI180" s="2"/>
    </row>
    <row r="181" spans="1:61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  <c r="AJ181" s="2"/>
      <c r="AK181" s="2"/>
      <c r="AL181" s="2"/>
      <c r="AM181" s="2"/>
      <c r="AN181" s="2"/>
      <c r="AO181" s="2"/>
      <c r="AP181" s="2"/>
      <c r="AQ181" s="2"/>
      <c r="AR181" s="2"/>
      <c r="AS181" s="2"/>
      <c r="AT181" s="2"/>
      <c r="AU181" s="2"/>
      <c r="AV181" s="2"/>
      <c r="AW181" s="2"/>
      <c r="AX181" s="2"/>
      <c r="AY181" s="2"/>
      <c r="AZ181" s="2"/>
      <c r="BA181" s="2"/>
      <c r="BB181" s="2"/>
      <c r="BC181" s="2"/>
      <c r="BD181" s="2"/>
      <c r="BE181" s="2"/>
      <c r="BF181" s="2"/>
      <c r="BG181" s="2"/>
      <c r="BH181" s="2"/>
      <c r="BI181" s="2"/>
    </row>
    <row r="182" spans="1:61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  <c r="AJ182" s="2"/>
      <c r="AK182" s="2"/>
      <c r="AL182" s="2"/>
      <c r="AM182" s="2"/>
      <c r="AN182" s="2"/>
      <c r="AO182" s="2"/>
      <c r="AP182" s="2"/>
      <c r="AQ182" s="2"/>
      <c r="AR182" s="2"/>
      <c r="AS182" s="2"/>
      <c r="AT182" s="2"/>
      <c r="AU182" s="2"/>
      <c r="AV182" s="2"/>
      <c r="AW182" s="2"/>
      <c r="AX182" s="2"/>
      <c r="AY182" s="2"/>
      <c r="AZ182" s="2"/>
      <c r="BA182" s="2"/>
      <c r="BB182" s="2"/>
      <c r="BC182" s="2"/>
      <c r="BD182" s="2"/>
      <c r="BE182" s="2"/>
      <c r="BF182" s="2"/>
      <c r="BG182" s="2"/>
      <c r="BH182" s="2"/>
      <c r="BI182" s="2"/>
    </row>
    <row r="183" spans="1:61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  <c r="AJ183" s="2"/>
      <c r="AK183" s="2"/>
      <c r="AL183" s="2"/>
      <c r="AM183" s="2"/>
      <c r="AN183" s="2"/>
      <c r="AO183" s="2"/>
      <c r="AP183" s="2"/>
      <c r="AQ183" s="2"/>
      <c r="AR183" s="2"/>
      <c r="AS183" s="2"/>
      <c r="AT183" s="2"/>
      <c r="AU183" s="2"/>
      <c r="AV183" s="2"/>
      <c r="AW183" s="2"/>
      <c r="AX183" s="2"/>
      <c r="AY183" s="2"/>
      <c r="AZ183" s="2"/>
      <c r="BA183" s="2"/>
      <c r="BB183" s="2"/>
      <c r="BC183" s="2"/>
      <c r="BD183" s="2"/>
      <c r="BE183" s="2"/>
      <c r="BF183" s="2"/>
      <c r="BG183" s="2"/>
      <c r="BH183" s="2"/>
      <c r="BI183" s="2"/>
    </row>
    <row r="184" spans="1:61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</row>
    <row r="185" spans="1:61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</row>
    <row r="186" spans="1:61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</row>
    <row r="187" spans="1:61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  <c r="AJ187" s="2"/>
      <c r="AK187" s="2"/>
      <c r="AL187" s="2"/>
      <c r="AM187" s="2"/>
      <c r="AN187" s="2"/>
      <c r="AO187" s="2"/>
      <c r="AP187" s="2"/>
      <c r="AQ187" s="2"/>
      <c r="AR187" s="2"/>
      <c r="AS187" s="2"/>
      <c r="AT187" s="2"/>
      <c r="AU187" s="2"/>
      <c r="AV187" s="2"/>
      <c r="AW187" s="2"/>
      <c r="AX187" s="2"/>
      <c r="AY187" s="2"/>
      <c r="AZ187" s="2"/>
      <c r="BA187" s="2"/>
      <c r="BB187" s="2"/>
      <c r="BC187" s="2"/>
      <c r="BD187" s="2"/>
      <c r="BE187" s="2"/>
      <c r="BF187" s="2"/>
      <c r="BG187" s="2"/>
      <c r="BH187" s="2"/>
      <c r="BI187" s="2"/>
    </row>
    <row r="188" spans="1:61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  <c r="AJ188" s="2"/>
      <c r="AK188" s="2"/>
      <c r="AL188" s="2"/>
      <c r="AM188" s="2"/>
      <c r="AN188" s="2"/>
      <c r="AO188" s="2"/>
      <c r="AP188" s="2"/>
      <c r="AQ188" s="2"/>
      <c r="AR188" s="2"/>
      <c r="AS188" s="2"/>
      <c r="AT188" s="2"/>
      <c r="AU188" s="2"/>
      <c r="AV188" s="2"/>
      <c r="AW188" s="2"/>
      <c r="AX188" s="2"/>
      <c r="AY188" s="2"/>
      <c r="AZ188" s="2"/>
      <c r="BA188" s="2"/>
      <c r="BB188" s="2"/>
      <c r="BC188" s="2"/>
      <c r="BD188" s="2"/>
      <c r="BE188" s="2"/>
      <c r="BF188" s="2"/>
      <c r="BG188" s="2"/>
      <c r="BH188" s="2"/>
      <c r="BI188" s="2"/>
    </row>
    <row r="189" spans="1:61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  <c r="AJ189" s="2"/>
      <c r="AK189" s="2"/>
      <c r="AL189" s="2"/>
      <c r="AM189" s="2"/>
      <c r="AN189" s="2"/>
      <c r="AO189" s="2"/>
      <c r="AP189" s="2"/>
      <c r="AQ189" s="2"/>
      <c r="AR189" s="2"/>
      <c r="AS189" s="2"/>
      <c r="AT189" s="2"/>
      <c r="AU189" s="2"/>
      <c r="AV189" s="2"/>
      <c r="AW189" s="2"/>
      <c r="AX189" s="2"/>
      <c r="AY189" s="2"/>
      <c r="AZ189" s="2"/>
      <c r="BA189" s="2"/>
      <c r="BB189" s="2"/>
      <c r="BC189" s="2"/>
      <c r="BD189" s="2"/>
      <c r="BE189" s="2"/>
      <c r="BF189" s="2"/>
      <c r="BG189" s="2"/>
      <c r="BH189" s="2"/>
      <c r="BI189" s="2"/>
    </row>
    <row r="190" spans="1:61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  <c r="AJ190" s="2"/>
      <c r="AK190" s="2"/>
      <c r="AL190" s="2"/>
      <c r="AM190" s="2"/>
      <c r="AN190" s="2"/>
      <c r="AO190" s="2"/>
      <c r="AP190" s="2"/>
      <c r="AQ190" s="2"/>
      <c r="AR190" s="2"/>
      <c r="AS190" s="2"/>
      <c r="AT190" s="2"/>
      <c r="AU190" s="2"/>
      <c r="AV190" s="2"/>
      <c r="AW190" s="2"/>
      <c r="AX190" s="2"/>
      <c r="AY190" s="2"/>
      <c r="AZ190" s="2"/>
      <c r="BA190" s="2"/>
      <c r="BB190" s="2"/>
      <c r="BC190" s="2"/>
      <c r="BD190" s="2"/>
      <c r="BE190" s="2"/>
      <c r="BF190" s="2"/>
      <c r="BG190" s="2"/>
      <c r="BH190" s="2"/>
      <c r="BI190" s="2"/>
    </row>
    <row r="191" spans="1:61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  <c r="AJ191" s="2"/>
      <c r="AK191" s="2"/>
      <c r="AL191" s="2"/>
      <c r="AM191" s="2"/>
      <c r="AN191" s="2"/>
      <c r="AO191" s="2"/>
      <c r="AP191" s="2"/>
      <c r="AQ191" s="2"/>
      <c r="AR191" s="2"/>
      <c r="AS191" s="2"/>
      <c r="AT191" s="2"/>
      <c r="AU191" s="2"/>
      <c r="AV191" s="2"/>
      <c r="AW191" s="2"/>
      <c r="AX191" s="2"/>
      <c r="AY191" s="2"/>
      <c r="AZ191" s="2"/>
      <c r="BA191" s="2"/>
      <c r="BB191" s="2"/>
      <c r="BC191" s="2"/>
      <c r="BD191" s="2"/>
      <c r="BE191" s="2"/>
      <c r="BF191" s="2"/>
      <c r="BG191" s="2"/>
      <c r="BH191" s="2"/>
      <c r="BI191" s="2"/>
    </row>
    <row r="192" spans="1:61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  <c r="AJ192" s="2"/>
      <c r="AK192" s="2"/>
      <c r="AL192" s="2"/>
      <c r="AM192" s="2"/>
      <c r="AN192" s="2"/>
      <c r="AO192" s="2"/>
      <c r="AP192" s="2"/>
      <c r="AQ192" s="2"/>
      <c r="AR192" s="2"/>
      <c r="AS192" s="2"/>
      <c r="AT192" s="2"/>
      <c r="AU192" s="2"/>
      <c r="AV192" s="2"/>
      <c r="AW192" s="2"/>
      <c r="AX192" s="2"/>
      <c r="AY192" s="2"/>
      <c r="AZ192" s="2"/>
      <c r="BA192" s="2"/>
      <c r="BB192" s="2"/>
      <c r="BC192" s="2"/>
      <c r="BD192" s="2"/>
      <c r="BE192" s="2"/>
      <c r="BF192" s="2"/>
      <c r="BG192" s="2"/>
      <c r="BH192" s="2"/>
      <c r="BI192" s="2"/>
    </row>
    <row r="193" spans="1:61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  <c r="AJ193" s="2"/>
      <c r="AK193" s="2"/>
      <c r="AL193" s="2"/>
      <c r="AM193" s="2"/>
      <c r="AN193" s="2"/>
      <c r="AO193" s="2"/>
      <c r="AP193" s="2"/>
      <c r="AQ193" s="2"/>
      <c r="AR193" s="2"/>
      <c r="AS193" s="2"/>
      <c r="AT193" s="2"/>
      <c r="AU193" s="2"/>
      <c r="AV193" s="2"/>
      <c r="AW193" s="2"/>
      <c r="AX193" s="2"/>
      <c r="AY193" s="2"/>
      <c r="AZ193" s="2"/>
      <c r="BA193" s="2"/>
      <c r="BB193" s="2"/>
      <c r="BC193" s="2"/>
      <c r="BD193" s="2"/>
      <c r="BE193" s="2"/>
      <c r="BF193" s="2"/>
      <c r="BG193" s="2"/>
      <c r="BH193" s="2"/>
      <c r="BI193" s="2"/>
    </row>
    <row r="194" spans="1:61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  <c r="AJ194" s="2"/>
      <c r="AK194" s="2"/>
      <c r="AL194" s="2"/>
      <c r="AM194" s="2"/>
      <c r="AN194" s="2"/>
      <c r="AO194" s="2"/>
      <c r="AP194" s="2"/>
      <c r="AQ194" s="2"/>
      <c r="AR194" s="2"/>
      <c r="AS194" s="2"/>
      <c r="AT194" s="2"/>
      <c r="AU194" s="2"/>
      <c r="AV194" s="2"/>
      <c r="AW194" s="2"/>
      <c r="AX194" s="2"/>
      <c r="AY194" s="2"/>
      <c r="AZ194" s="2"/>
      <c r="BA194" s="2"/>
      <c r="BB194" s="2"/>
      <c r="BC194" s="2"/>
      <c r="BD194" s="2"/>
      <c r="BE194" s="2"/>
      <c r="BF194" s="2"/>
      <c r="BG194" s="2"/>
      <c r="BH194" s="2"/>
      <c r="BI194" s="2"/>
    </row>
    <row r="195" spans="1:61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  <c r="AJ195" s="2"/>
      <c r="AK195" s="2"/>
      <c r="AL195" s="2"/>
      <c r="AM195" s="2"/>
      <c r="AN195" s="2"/>
      <c r="AO195" s="2"/>
      <c r="AP195" s="2"/>
      <c r="AQ195" s="2"/>
      <c r="AR195" s="2"/>
      <c r="AS195" s="2"/>
      <c r="AT195" s="2"/>
      <c r="AU195" s="2"/>
      <c r="AV195" s="2"/>
      <c r="AW195" s="2"/>
      <c r="AX195" s="2"/>
      <c r="AY195" s="2"/>
      <c r="AZ195" s="2"/>
      <c r="BA195" s="2"/>
      <c r="BB195" s="2"/>
      <c r="BC195" s="2"/>
      <c r="BD195" s="2"/>
      <c r="BE195" s="2"/>
      <c r="BF195" s="2"/>
      <c r="BG195" s="2"/>
      <c r="BH195" s="2"/>
      <c r="BI195" s="2"/>
    </row>
    <row r="196" spans="1:61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</row>
    <row r="197" spans="1:61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</row>
    <row r="198" spans="1:61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</row>
    <row r="199" spans="1:61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</row>
    <row r="200" spans="1:61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</row>
    <row r="201" spans="1:61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</row>
    <row r="202" spans="1:61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</row>
    <row r="203" spans="1:61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</row>
    <row r="204" spans="1:61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</row>
    <row r="205" spans="1:61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</row>
    <row r="206" spans="1:61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  <c r="AJ206" s="2"/>
      <c r="AK206" s="2"/>
      <c r="AL206" s="2"/>
      <c r="AM206" s="2"/>
      <c r="AN206" s="2"/>
      <c r="AO206" s="2"/>
      <c r="AP206" s="2"/>
      <c r="AQ206" s="2"/>
      <c r="AR206" s="2"/>
      <c r="AS206" s="2"/>
      <c r="AT206" s="2"/>
      <c r="AU206" s="2"/>
      <c r="AV206" s="2"/>
      <c r="AW206" s="2"/>
      <c r="AX206" s="2"/>
      <c r="AY206" s="2"/>
      <c r="AZ206" s="2"/>
      <c r="BA206" s="2"/>
      <c r="BB206" s="2"/>
      <c r="BC206" s="2"/>
      <c r="BD206" s="2"/>
      <c r="BE206" s="2"/>
      <c r="BF206" s="2"/>
      <c r="BG206" s="2"/>
      <c r="BH206" s="2"/>
      <c r="BI206" s="2"/>
    </row>
    <row r="207" spans="1:61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  <c r="AJ207" s="2"/>
      <c r="AK207" s="2"/>
      <c r="AL207" s="2"/>
      <c r="AM207" s="2"/>
      <c r="AN207" s="2"/>
      <c r="AO207" s="2"/>
      <c r="AP207" s="2"/>
      <c r="AQ207" s="2"/>
      <c r="AR207" s="2"/>
      <c r="AS207" s="2"/>
      <c r="AT207" s="2"/>
      <c r="AU207" s="2"/>
      <c r="AV207" s="2"/>
      <c r="AW207" s="2"/>
      <c r="AX207" s="2"/>
      <c r="AY207" s="2"/>
      <c r="AZ207" s="2"/>
      <c r="BA207" s="2"/>
      <c r="BB207" s="2"/>
      <c r="BC207" s="2"/>
      <c r="BD207" s="2"/>
      <c r="BE207" s="2"/>
      <c r="BF207" s="2"/>
      <c r="BG207" s="2"/>
      <c r="BH207" s="2"/>
      <c r="BI207" s="2"/>
    </row>
    <row r="208" spans="1:61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  <c r="AJ208" s="2"/>
      <c r="AK208" s="2"/>
      <c r="AL208" s="2"/>
      <c r="AM208" s="2"/>
      <c r="AN208" s="2"/>
      <c r="AO208" s="2"/>
      <c r="AP208" s="2"/>
      <c r="AQ208" s="2"/>
      <c r="AR208" s="2"/>
      <c r="AS208" s="2"/>
      <c r="AT208" s="2"/>
      <c r="AU208" s="2"/>
      <c r="AV208" s="2"/>
      <c r="AW208" s="2"/>
      <c r="AX208" s="2"/>
      <c r="AY208" s="2"/>
      <c r="AZ208" s="2"/>
      <c r="BA208" s="2"/>
      <c r="BB208" s="2"/>
      <c r="BC208" s="2"/>
      <c r="BD208" s="2"/>
      <c r="BE208" s="2"/>
      <c r="BF208" s="2"/>
      <c r="BG208" s="2"/>
      <c r="BH208" s="2"/>
      <c r="BI208" s="2"/>
    </row>
    <row r="209" spans="1:61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  <c r="AJ209" s="2"/>
      <c r="AK209" s="2"/>
      <c r="AL209" s="2"/>
      <c r="AM209" s="2"/>
      <c r="AN209" s="2"/>
      <c r="AO209" s="2"/>
      <c r="AP209" s="2"/>
      <c r="AQ209" s="2"/>
      <c r="AR209" s="2"/>
      <c r="AS209" s="2"/>
      <c r="AT209" s="2"/>
      <c r="AU209" s="2"/>
      <c r="AV209" s="2"/>
      <c r="AW209" s="2"/>
      <c r="AX209" s="2"/>
      <c r="AY209" s="2"/>
      <c r="AZ209" s="2"/>
      <c r="BA209" s="2"/>
      <c r="BB209" s="2"/>
      <c r="BC209" s="2"/>
      <c r="BD209" s="2"/>
      <c r="BE209" s="2"/>
      <c r="BF209" s="2"/>
      <c r="BG209" s="2"/>
      <c r="BH209" s="2"/>
      <c r="BI209" s="2"/>
    </row>
    <row r="210" spans="1:61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  <c r="AJ210" s="2"/>
      <c r="AK210" s="2"/>
      <c r="AL210" s="2"/>
      <c r="AM210" s="2"/>
      <c r="AN210" s="2"/>
      <c r="AO210" s="2"/>
      <c r="AP210" s="2"/>
      <c r="AQ210" s="2"/>
      <c r="AR210" s="2"/>
      <c r="AS210" s="2"/>
      <c r="AT210" s="2"/>
      <c r="AU210" s="2"/>
      <c r="AV210" s="2"/>
      <c r="AW210" s="2"/>
      <c r="AX210" s="2"/>
      <c r="AY210" s="2"/>
      <c r="AZ210" s="2"/>
      <c r="BA210" s="2"/>
      <c r="BB210" s="2"/>
      <c r="BC210" s="2"/>
      <c r="BD210" s="2"/>
      <c r="BE210" s="2"/>
      <c r="BF210" s="2"/>
      <c r="BG210" s="2"/>
      <c r="BH210" s="2"/>
      <c r="BI210" s="2"/>
    </row>
    <row r="211" spans="1:61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  <c r="AJ211" s="2"/>
      <c r="AK211" s="2"/>
      <c r="AL211" s="2"/>
      <c r="AM211" s="2"/>
      <c r="AN211" s="2"/>
      <c r="AO211" s="2"/>
      <c r="AP211" s="2"/>
      <c r="AQ211" s="2"/>
      <c r="AR211" s="2"/>
      <c r="AS211" s="2"/>
      <c r="AT211" s="2"/>
      <c r="AU211" s="2"/>
      <c r="AV211" s="2"/>
      <c r="AW211" s="2"/>
      <c r="AX211" s="2"/>
      <c r="AY211" s="2"/>
      <c r="AZ211" s="2"/>
      <c r="BA211" s="2"/>
      <c r="BB211" s="2"/>
      <c r="BC211" s="2"/>
      <c r="BD211" s="2"/>
      <c r="BE211" s="2"/>
      <c r="BF211" s="2"/>
      <c r="BG211" s="2"/>
      <c r="BH211" s="2"/>
      <c r="BI211" s="2"/>
    </row>
    <row r="212" spans="1:61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  <c r="AJ212" s="2"/>
      <c r="AK212" s="2"/>
      <c r="AL212" s="2"/>
      <c r="AM212" s="2"/>
      <c r="AN212" s="2"/>
      <c r="AO212" s="2"/>
      <c r="AP212" s="2"/>
      <c r="AQ212" s="2"/>
      <c r="AR212" s="2"/>
      <c r="AS212" s="2"/>
      <c r="AT212" s="2"/>
      <c r="AU212" s="2"/>
      <c r="AV212" s="2"/>
      <c r="AW212" s="2"/>
      <c r="AX212" s="2"/>
      <c r="AY212" s="2"/>
      <c r="AZ212" s="2"/>
      <c r="BA212" s="2"/>
      <c r="BB212" s="2"/>
      <c r="BC212" s="2"/>
      <c r="BD212" s="2"/>
      <c r="BE212" s="2"/>
      <c r="BF212" s="2"/>
      <c r="BG212" s="2"/>
      <c r="BH212" s="2"/>
      <c r="BI212" s="2"/>
    </row>
    <row r="213" spans="1:61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  <c r="AJ213" s="2"/>
      <c r="AK213" s="2"/>
      <c r="AL213" s="2"/>
      <c r="AM213" s="2"/>
      <c r="AN213" s="2"/>
      <c r="AO213" s="2"/>
      <c r="AP213" s="2"/>
      <c r="AQ213" s="2"/>
      <c r="AR213" s="2"/>
      <c r="AS213" s="2"/>
      <c r="AT213" s="2"/>
      <c r="AU213" s="2"/>
      <c r="AV213" s="2"/>
      <c r="AW213" s="2"/>
      <c r="AX213" s="2"/>
      <c r="AY213" s="2"/>
      <c r="AZ213" s="2"/>
      <c r="BA213" s="2"/>
      <c r="BB213" s="2"/>
      <c r="BC213" s="2"/>
      <c r="BD213" s="2"/>
      <c r="BE213" s="2"/>
      <c r="BF213" s="2"/>
      <c r="BG213" s="2"/>
      <c r="BH213" s="2"/>
      <c r="BI213" s="2"/>
    </row>
    <row r="214" spans="1:61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  <c r="AJ214" s="2"/>
      <c r="AK214" s="2"/>
      <c r="AL214" s="2"/>
      <c r="AM214" s="2"/>
      <c r="AN214" s="2"/>
      <c r="AO214" s="2"/>
      <c r="AP214" s="2"/>
      <c r="AQ214" s="2"/>
      <c r="AR214" s="2"/>
      <c r="AS214" s="2"/>
      <c r="AT214" s="2"/>
      <c r="AU214" s="2"/>
      <c r="AV214" s="2"/>
      <c r="AW214" s="2"/>
      <c r="AX214" s="2"/>
      <c r="AY214" s="2"/>
      <c r="AZ214" s="2"/>
      <c r="BA214" s="2"/>
      <c r="BB214" s="2"/>
      <c r="BC214" s="2"/>
      <c r="BD214" s="2"/>
      <c r="BE214" s="2"/>
      <c r="BF214" s="2"/>
      <c r="BG214" s="2"/>
      <c r="BH214" s="2"/>
      <c r="BI214" s="2"/>
    </row>
    <row r="215" spans="1:61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  <c r="AJ215" s="2"/>
      <c r="AK215" s="2"/>
      <c r="AL215" s="2"/>
      <c r="AM215" s="2"/>
      <c r="AN215" s="2"/>
      <c r="AO215" s="2"/>
      <c r="AP215" s="2"/>
      <c r="AQ215" s="2"/>
      <c r="AR215" s="2"/>
      <c r="AS215" s="2"/>
      <c r="AT215" s="2"/>
      <c r="AU215" s="2"/>
      <c r="AV215" s="2"/>
      <c r="AW215" s="2"/>
      <c r="AX215" s="2"/>
      <c r="AY215" s="2"/>
      <c r="AZ215" s="2"/>
      <c r="BA215" s="2"/>
      <c r="BB215" s="2"/>
      <c r="BC215" s="2"/>
      <c r="BD215" s="2"/>
      <c r="BE215" s="2"/>
      <c r="BF215" s="2"/>
      <c r="BG215" s="2"/>
      <c r="BH215" s="2"/>
      <c r="BI215" s="2"/>
    </row>
    <row r="216" spans="1:61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  <c r="AJ216" s="2"/>
      <c r="AK216" s="2"/>
      <c r="AL216" s="2"/>
      <c r="AM216" s="2"/>
      <c r="AN216" s="2"/>
      <c r="AO216" s="2"/>
      <c r="AP216" s="2"/>
      <c r="AQ216" s="2"/>
      <c r="AR216" s="2"/>
      <c r="AS216" s="2"/>
      <c r="AT216" s="2"/>
      <c r="AU216" s="2"/>
      <c r="AV216" s="2"/>
      <c r="AW216" s="2"/>
      <c r="AX216" s="2"/>
      <c r="AY216" s="2"/>
      <c r="AZ216" s="2"/>
      <c r="BA216" s="2"/>
      <c r="BB216" s="2"/>
      <c r="BC216" s="2"/>
      <c r="BD216" s="2"/>
      <c r="BE216" s="2"/>
      <c r="BF216" s="2"/>
      <c r="BG216" s="2"/>
      <c r="BH216" s="2"/>
      <c r="BI216" s="2"/>
    </row>
    <row r="217" spans="1:61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  <c r="AJ217" s="2"/>
      <c r="AK217" s="2"/>
      <c r="AL217" s="2"/>
      <c r="AM217" s="2"/>
      <c r="AN217" s="2"/>
      <c r="AO217" s="2"/>
      <c r="AP217" s="2"/>
      <c r="AQ217" s="2"/>
      <c r="AR217" s="2"/>
      <c r="AS217" s="2"/>
      <c r="AT217" s="2"/>
      <c r="AU217" s="2"/>
      <c r="AV217" s="2"/>
      <c r="AW217" s="2"/>
      <c r="AX217" s="2"/>
      <c r="AY217" s="2"/>
      <c r="AZ217" s="2"/>
      <c r="BA217" s="2"/>
      <c r="BB217" s="2"/>
      <c r="BC217" s="2"/>
      <c r="BD217" s="2"/>
      <c r="BE217" s="2"/>
      <c r="BF217" s="2"/>
      <c r="BG217" s="2"/>
      <c r="BH217" s="2"/>
      <c r="BI217" s="2"/>
    </row>
    <row r="218" spans="1:61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  <c r="AJ218" s="2"/>
      <c r="AK218" s="2"/>
      <c r="AL218" s="2"/>
      <c r="AM218" s="2"/>
      <c r="AN218" s="2"/>
      <c r="AO218" s="2"/>
      <c r="AP218" s="2"/>
      <c r="AQ218" s="2"/>
      <c r="AR218" s="2"/>
      <c r="AS218" s="2"/>
      <c r="AT218" s="2"/>
      <c r="AU218" s="2"/>
      <c r="AV218" s="2"/>
      <c r="AW218" s="2"/>
      <c r="AX218" s="2"/>
      <c r="AY218" s="2"/>
      <c r="AZ218" s="2"/>
      <c r="BA218" s="2"/>
      <c r="BB218" s="2"/>
      <c r="BC218" s="2"/>
      <c r="BD218" s="2"/>
      <c r="BE218" s="2"/>
      <c r="BF218" s="2"/>
      <c r="BG218" s="2"/>
      <c r="BH218" s="2"/>
      <c r="BI218" s="2"/>
    </row>
    <row r="219" spans="1:61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  <c r="AJ219" s="2"/>
      <c r="AK219" s="2"/>
      <c r="AL219" s="2"/>
      <c r="AM219" s="2"/>
      <c r="AN219" s="2"/>
      <c r="AO219" s="2"/>
      <c r="AP219" s="2"/>
      <c r="AQ219" s="2"/>
      <c r="AR219" s="2"/>
      <c r="AS219" s="2"/>
      <c r="AT219" s="2"/>
      <c r="AU219" s="2"/>
      <c r="AV219" s="2"/>
      <c r="AW219" s="2"/>
      <c r="AX219" s="2"/>
      <c r="AY219" s="2"/>
      <c r="AZ219" s="2"/>
      <c r="BA219" s="2"/>
      <c r="BB219" s="2"/>
      <c r="BC219" s="2"/>
      <c r="BD219" s="2"/>
      <c r="BE219" s="2"/>
      <c r="BF219" s="2"/>
      <c r="BG219" s="2"/>
      <c r="BH219" s="2"/>
      <c r="BI219" s="2"/>
    </row>
    <row r="220" spans="1:61">
      <c r="A220" s="2"/>
      <c r="B220" s="2"/>
      <c r="C220" s="2"/>
      <c r="D220" s="2"/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  <c r="AJ220" s="2"/>
      <c r="AK220" s="2"/>
      <c r="AL220" s="2"/>
      <c r="AM220" s="2"/>
      <c r="AN220" s="2"/>
      <c r="AO220" s="2"/>
      <c r="AP220" s="2"/>
      <c r="AQ220" s="2"/>
      <c r="AR220" s="2"/>
      <c r="AS220" s="2"/>
      <c r="AT220" s="2"/>
      <c r="AU220" s="2"/>
      <c r="AV220" s="2"/>
      <c r="AW220" s="2"/>
      <c r="AX220" s="2"/>
      <c r="AY220" s="2"/>
      <c r="AZ220" s="2"/>
      <c r="BA220" s="2"/>
      <c r="BB220" s="2"/>
      <c r="BC220" s="2"/>
      <c r="BD220" s="2"/>
      <c r="BE220" s="2"/>
      <c r="BF220" s="2"/>
      <c r="BG220" s="2"/>
      <c r="BH220" s="2"/>
      <c r="BI220" s="2"/>
    </row>
    <row r="221" spans="1:61">
      <c r="A221" s="2"/>
      <c r="B221" s="2"/>
      <c r="C221" s="2"/>
      <c r="D221" s="2"/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  <c r="AJ221" s="2"/>
      <c r="AK221" s="2"/>
      <c r="AL221" s="2"/>
      <c r="AM221" s="2"/>
      <c r="AN221" s="2"/>
      <c r="AO221" s="2"/>
      <c r="AP221" s="2"/>
      <c r="AQ221" s="2"/>
      <c r="AR221" s="2"/>
      <c r="AS221" s="2"/>
      <c r="AT221" s="2"/>
      <c r="AU221" s="2"/>
      <c r="AV221" s="2"/>
      <c r="AW221" s="2"/>
      <c r="AX221" s="2"/>
      <c r="AY221" s="2"/>
      <c r="AZ221" s="2"/>
      <c r="BA221" s="2"/>
      <c r="BB221" s="2"/>
      <c r="BC221" s="2"/>
      <c r="BD221" s="2"/>
      <c r="BE221" s="2"/>
      <c r="BF221" s="2"/>
      <c r="BG221" s="2"/>
      <c r="BH221" s="2"/>
      <c r="BI221" s="2"/>
    </row>
    <row r="222" spans="1:61">
      <c r="A222" s="2"/>
      <c r="B222" s="2"/>
      <c r="C222" s="2"/>
      <c r="D222" s="2"/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  <c r="AJ222" s="2"/>
      <c r="AK222" s="2"/>
      <c r="AL222" s="2"/>
      <c r="AM222" s="2"/>
      <c r="AN222" s="2"/>
      <c r="AO222" s="2"/>
      <c r="AP222" s="2"/>
      <c r="AQ222" s="2"/>
      <c r="AR222" s="2"/>
      <c r="AS222" s="2"/>
      <c r="AT222" s="2"/>
      <c r="AU222" s="2"/>
      <c r="AV222" s="2"/>
      <c r="AW222" s="2"/>
      <c r="AX222" s="2"/>
      <c r="AY222" s="2"/>
      <c r="AZ222" s="2"/>
      <c r="BA222" s="2"/>
      <c r="BB222" s="2"/>
      <c r="BC222" s="2"/>
      <c r="BD222" s="2"/>
      <c r="BE222" s="2"/>
      <c r="BF222" s="2"/>
      <c r="BG222" s="2"/>
      <c r="BH222" s="2"/>
      <c r="BI222" s="2"/>
    </row>
    <row r="223" spans="1:61">
      <c r="A223" s="2"/>
      <c r="B223" s="2"/>
      <c r="C223" s="2"/>
      <c r="D223" s="2"/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  <c r="AJ223" s="2"/>
      <c r="AK223" s="2"/>
      <c r="AL223" s="2"/>
      <c r="AM223" s="2"/>
      <c r="AN223" s="2"/>
      <c r="AO223" s="2"/>
      <c r="AP223" s="2"/>
      <c r="AQ223" s="2"/>
      <c r="AR223" s="2"/>
      <c r="AS223" s="2"/>
      <c r="AT223" s="2"/>
      <c r="AU223" s="2"/>
      <c r="AV223" s="2"/>
      <c r="AW223" s="2"/>
      <c r="AX223" s="2"/>
      <c r="AY223" s="2"/>
      <c r="AZ223" s="2"/>
      <c r="BA223" s="2"/>
      <c r="BB223" s="2"/>
      <c r="BC223" s="2"/>
      <c r="BD223" s="2"/>
      <c r="BE223" s="2"/>
      <c r="BF223" s="2"/>
      <c r="BG223" s="2"/>
      <c r="BH223" s="2"/>
      <c r="BI223" s="2"/>
    </row>
    <row r="224" spans="1:61">
      <c r="A224" s="2"/>
      <c r="B224" s="2"/>
      <c r="C224" s="2"/>
      <c r="D224" s="2"/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  <c r="AJ224" s="2"/>
      <c r="AK224" s="2"/>
      <c r="AL224" s="2"/>
      <c r="AM224" s="2"/>
      <c r="AN224" s="2"/>
      <c r="AO224" s="2"/>
      <c r="AP224" s="2"/>
      <c r="AQ224" s="2"/>
      <c r="AR224" s="2"/>
      <c r="AS224" s="2"/>
      <c r="AT224" s="2"/>
      <c r="AU224" s="2"/>
      <c r="AV224" s="2"/>
      <c r="AW224" s="2"/>
      <c r="AX224" s="2"/>
      <c r="AY224" s="2"/>
      <c r="AZ224" s="2"/>
      <c r="BA224" s="2"/>
      <c r="BB224" s="2"/>
      <c r="BC224" s="2"/>
      <c r="BD224" s="2"/>
      <c r="BE224" s="2"/>
      <c r="BF224" s="2"/>
      <c r="BG224" s="2"/>
      <c r="BH224" s="2"/>
      <c r="BI224" s="2"/>
    </row>
    <row r="225" spans="1:61">
      <c r="A225" s="2"/>
      <c r="B225" s="2"/>
      <c r="C225" s="2"/>
      <c r="D225" s="2"/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  <c r="AJ225" s="2"/>
      <c r="AK225" s="2"/>
      <c r="AL225" s="2"/>
      <c r="AM225" s="2"/>
      <c r="AN225" s="2"/>
      <c r="AO225" s="2"/>
      <c r="AP225" s="2"/>
      <c r="AQ225" s="2"/>
      <c r="AR225" s="2"/>
      <c r="AS225" s="2"/>
      <c r="AT225" s="2"/>
      <c r="AU225" s="2"/>
      <c r="AV225" s="2"/>
      <c r="AW225" s="2"/>
      <c r="AX225" s="2"/>
      <c r="AY225" s="2"/>
      <c r="AZ225" s="2"/>
      <c r="BA225" s="2"/>
      <c r="BB225" s="2"/>
      <c r="BC225" s="2"/>
      <c r="BD225" s="2"/>
      <c r="BE225" s="2"/>
      <c r="BF225" s="2"/>
      <c r="BG225" s="2"/>
      <c r="BH225" s="2"/>
      <c r="BI225" s="2"/>
    </row>
    <row r="226" spans="1:61">
      <c r="A226" s="2"/>
      <c r="B226" s="2"/>
      <c r="C226" s="2"/>
      <c r="D226" s="2"/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  <c r="AJ226" s="2"/>
      <c r="AK226" s="2"/>
      <c r="AL226" s="2"/>
      <c r="AM226" s="2"/>
      <c r="AN226" s="2"/>
      <c r="AO226" s="2"/>
      <c r="AP226" s="2"/>
      <c r="AQ226" s="2"/>
      <c r="AR226" s="2"/>
      <c r="AS226" s="2"/>
      <c r="AT226" s="2"/>
      <c r="AU226" s="2"/>
      <c r="AV226" s="2"/>
      <c r="AW226" s="2"/>
      <c r="AX226" s="2"/>
      <c r="AY226" s="2"/>
      <c r="AZ226" s="2"/>
      <c r="BA226" s="2"/>
      <c r="BB226" s="2"/>
      <c r="BC226" s="2"/>
      <c r="BD226" s="2"/>
      <c r="BE226" s="2"/>
      <c r="BF226" s="2"/>
      <c r="BG226" s="2"/>
      <c r="BH226" s="2"/>
      <c r="BI226" s="2"/>
    </row>
    <row r="227" spans="1:61">
      <c r="A227" s="2"/>
      <c r="B227" s="2"/>
      <c r="C227" s="2"/>
      <c r="D227" s="2"/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  <c r="AJ227" s="2"/>
      <c r="AK227" s="2"/>
      <c r="AL227" s="2"/>
      <c r="AM227" s="2"/>
      <c r="AN227" s="2"/>
      <c r="AO227" s="2"/>
      <c r="AP227" s="2"/>
      <c r="AQ227" s="2"/>
      <c r="AR227" s="2"/>
      <c r="AS227" s="2"/>
      <c r="AT227" s="2"/>
      <c r="AU227" s="2"/>
      <c r="AV227" s="2"/>
      <c r="AW227" s="2"/>
      <c r="AX227" s="2"/>
      <c r="AY227" s="2"/>
      <c r="AZ227" s="2"/>
      <c r="BA227" s="2"/>
      <c r="BB227" s="2"/>
      <c r="BC227" s="2"/>
      <c r="BD227" s="2"/>
      <c r="BE227" s="2"/>
      <c r="BF227" s="2"/>
      <c r="BG227" s="2"/>
      <c r="BH227" s="2"/>
      <c r="BI227" s="2"/>
    </row>
    <row r="228" spans="1:61">
      <c r="A228" s="2"/>
      <c r="B228" s="2"/>
      <c r="C228" s="2"/>
      <c r="D228" s="2"/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  <c r="AJ228" s="2"/>
      <c r="AK228" s="2"/>
      <c r="AL228" s="2"/>
      <c r="AM228" s="2"/>
      <c r="AN228" s="2"/>
      <c r="AO228" s="2"/>
      <c r="AP228" s="2"/>
      <c r="AQ228" s="2"/>
      <c r="AR228" s="2"/>
      <c r="AS228" s="2"/>
      <c r="AT228" s="2"/>
      <c r="AU228" s="2"/>
      <c r="AV228" s="2"/>
      <c r="AW228" s="2"/>
      <c r="AX228" s="2"/>
      <c r="AY228" s="2"/>
      <c r="AZ228" s="2"/>
      <c r="BA228" s="2"/>
      <c r="BB228" s="2"/>
      <c r="BC228" s="2"/>
      <c r="BD228" s="2"/>
      <c r="BE228" s="2"/>
      <c r="BF228" s="2"/>
      <c r="BG228" s="2"/>
      <c r="BH228" s="2"/>
      <c r="BI228" s="2"/>
    </row>
    <row r="229" spans="1:61">
      <c r="A229" s="2"/>
      <c r="B229" s="2"/>
      <c r="C229" s="2"/>
      <c r="D229" s="2"/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AY229" s="2"/>
      <c r="AZ229" s="2"/>
      <c r="BA229" s="2"/>
      <c r="BB229" s="2"/>
      <c r="BC229" s="2"/>
      <c r="BD229" s="2"/>
      <c r="BE229" s="2"/>
      <c r="BF229" s="2"/>
      <c r="BG229" s="2"/>
      <c r="BH229" s="2"/>
      <c r="BI229" s="2"/>
    </row>
    <row r="230" spans="1:61">
      <c r="A230" s="2"/>
      <c r="B230" s="2"/>
      <c r="C230" s="2"/>
      <c r="D230" s="2"/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  <c r="AJ230" s="2"/>
      <c r="AK230" s="2"/>
      <c r="AL230" s="2"/>
      <c r="AM230" s="2"/>
      <c r="AN230" s="2"/>
      <c r="AO230" s="2"/>
      <c r="AP230" s="2"/>
      <c r="AQ230" s="2"/>
      <c r="AR230" s="2"/>
      <c r="AS230" s="2"/>
      <c r="AT230" s="2"/>
      <c r="AU230" s="2"/>
      <c r="AV230" s="2"/>
      <c r="AW230" s="2"/>
      <c r="AX230" s="2"/>
      <c r="AY230" s="2"/>
      <c r="AZ230" s="2"/>
      <c r="BA230" s="2"/>
      <c r="BB230" s="2"/>
      <c r="BC230" s="2"/>
      <c r="BD230" s="2"/>
      <c r="BE230" s="2"/>
      <c r="BF230" s="2"/>
      <c r="BG230" s="2"/>
      <c r="BH230" s="2"/>
      <c r="BI230" s="2"/>
    </row>
    <row r="231" spans="1:61">
      <c r="A231" s="2"/>
      <c r="B231" s="2"/>
      <c r="C231" s="2"/>
      <c r="D231" s="2"/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  <c r="AJ231" s="2"/>
      <c r="AK231" s="2"/>
      <c r="AL231" s="2"/>
      <c r="AM231" s="2"/>
      <c r="AN231" s="2"/>
      <c r="AO231" s="2"/>
      <c r="AP231" s="2"/>
      <c r="AQ231" s="2"/>
      <c r="AR231" s="2"/>
      <c r="AS231" s="2"/>
      <c r="AT231" s="2"/>
      <c r="AU231" s="2"/>
      <c r="AV231" s="2"/>
      <c r="AW231" s="2"/>
      <c r="AX231" s="2"/>
      <c r="AY231" s="2"/>
      <c r="AZ231" s="2"/>
      <c r="BA231" s="2"/>
      <c r="BB231" s="2"/>
      <c r="BC231" s="2"/>
      <c r="BD231" s="2"/>
      <c r="BE231" s="2"/>
      <c r="BF231" s="2"/>
      <c r="BG231" s="2"/>
      <c r="BH231" s="2"/>
      <c r="BI231" s="2"/>
    </row>
    <row r="232" spans="1:61">
      <c r="A232" s="2"/>
      <c r="B232" s="2"/>
      <c r="C232" s="2"/>
      <c r="D232" s="2"/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  <c r="AJ232" s="2"/>
      <c r="AK232" s="2"/>
      <c r="AL232" s="2"/>
      <c r="AM232" s="2"/>
      <c r="AN232" s="2"/>
      <c r="AO232" s="2"/>
      <c r="AP232" s="2"/>
      <c r="AQ232" s="2"/>
      <c r="AR232" s="2"/>
      <c r="AS232" s="2"/>
      <c r="AT232" s="2"/>
      <c r="AU232" s="2"/>
      <c r="AV232" s="2"/>
      <c r="AW232" s="2"/>
      <c r="AX232" s="2"/>
      <c r="AY232" s="2"/>
      <c r="AZ232" s="2"/>
      <c r="BA232" s="2"/>
      <c r="BB232" s="2"/>
      <c r="BC232" s="2"/>
      <c r="BD232" s="2"/>
      <c r="BE232" s="2"/>
      <c r="BF232" s="2"/>
      <c r="BG232" s="2"/>
      <c r="BH232" s="2"/>
      <c r="BI232" s="2"/>
    </row>
    <row r="233" spans="1:61">
      <c r="A233" s="2"/>
      <c r="B233" s="2"/>
      <c r="C233" s="2"/>
      <c r="D233" s="2"/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  <c r="AJ233" s="2"/>
      <c r="AK233" s="2"/>
      <c r="AL233" s="2"/>
      <c r="AM233" s="2"/>
      <c r="AN233" s="2"/>
      <c r="AO233" s="2"/>
      <c r="AP233" s="2"/>
      <c r="AQ233" s="2"/>
      <c r="AR233" s="2"/>
      <c r="AS233" s="2"/>
      <c r="AT233" s="2"/>
      <c r="AU233" s="2"/>
      <c r="AV233" s="2"/>
      <c r="AW233" s="2"/>
      <c r="AX233" s="2"/>
      <c r="AY233" s="2"/>
      <c r="AZ233" s="2"/>
      <c r="BA233" s="2"/>
      <c r="BB233" s="2"/>
      <c r="BC233" s="2"/>
      <c r="BD233" s="2"/>
      <c r="BE233" s="2"/>
      <c r="BF233" s="2"/>
      <c r="BG233" s="2"/>
      <c r="BH233" s="2"/>
      <c r="BI233" s="2"/>
    </row>
    <row r="234" spans="1:61">
      <c r="A234" s="2"/>
      <c r="B234" s="2"/>
      <c r="C234" s="2"/>
      <c r="D234" s="2"/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  <c r="AA234" s="2"/>
      <c r="AB234" s="2"/>
      <c r="AC234" s="2"/>
      <c r="AD234" s="2"/>
      <c r="AE234" s="2"/>
      <c r="AF234" s="2"/>
      <c r="AG234" s="2"/>
      <c r="AH234" s="2"/>
      <c r="AI234" s="2"/>
      <c r="AJ234" s="2"/>
      <c r="AK234" s="2"/>
      <c r="AL234" s="2"/>
      <c r="AM234" s="2"/>
      <c r="AN234" s="2"/>
      <c r="AO234" s="2"/>
      <c r="AP234" s="2"/>
      <c r="AQ234" s="2"/>
      <c r="AR234" s="2"/>
      <c r="AS234" s="2"/>
      <c r="AT234" s="2"/>
      <c r="AU234" s="2"/>
      <c r="AV234" s="2"/>
      <c r="AW234" s="2"/>
      <c r="AX234" s="2"/>
      <c r="AY234" s="2"/>
      <c r="AZ234" s="2"/>
      <c r="BA234" s="2"/>
      <c r="BB234" s="2"/>
      <c r="BC234" s="2"/>
      <c r="BD234" s="2"/>
      <c r="BE234" s="2"/>
      <c r="BF234" s="2"/>
      <c r="BG234" s="2"/>
      <c r="BH234" s="2"/>
      <c r="BI234" s="2"/>
    </row>
    <row r="235" spans="1:61">
      <c r="A235" s="2"/>
      <c r="B235" s="2"/>
      <c r="C235" s="2"/>
      <c r="D235" s="2"/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  <c r="AA235" s="2"/>
      <c r="AB235" s="2"/>
      <c r="AC235" s="2"/>
      <c r="AD235" s="2"/>
      <c r="AE235" s="2"/>
      <c r="AF235" s="2"/>
      <c r="AG235" s="2"/>
      <c r="AH235" s="2"/>
      <c r="AI235" s="2"/>
      <c r="AJ235" s="2"/>
      <c r="AK235" s="2"/>
      <c r="AL235" s="2"/>
      <c r="AM235" s="2"/>
      <c r="AN235" s="2"/>
      <c r="AO235" s="2"/>
      <c r="AP235" s="2"/>
      <c r="AQ235" s="2"/>
      <c r="AR235" s="2"/>
      <c r="AS235" s="2"/>
      <c r="AT235" s="2"/>
      <c r="AU235" s="2"/>
      <c r="AV235" s="2"/>
      <c r="AW235" s="2"/>
      <c r="AX235" s="2"/>
      <c r="AY235" s="2"/>
      <c r="AZ235" s="2"/>
      <c r="BA235" s="2"/>
      <c r="BB235" s="2"/>
      <c r="BC235" s="2"/>
      <c r="BD235" s="2"/>
      <c r="BE235" s="2"/>
      <c r="BF235" s="2"/>
      <c r="BG235" s="2"/>
      <c r="BH235" s="2"/>
      <c r="BI235" s="2"/>
    </row>
    <row r="236" spans="1:61">
      <c r="A236" s="2"/>
      <c r="B236" s="2"/>
      <c r="C236" s="2"/>
      <c r="D236" s="2"/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  <c r="AA236" s="2"/>
      <c r="AB236" s="2"/>
      <c r="AC236" s="2"/>
      <c r="AD236" s="2"/>
      <c r="AE236" s="2"/>
      <c r="AF236" s="2"/>
      <c r="AG236" s="2"/>
      <c r="AH236" s="2"/>
      <c r="AI236" s="2"/>
      <c r="AJ236" s="2"/>
      <c r="AK236" s="2"/>
      <c r="AL236" s="2"/>
      <c r="AM236" s="2"/>
      <c r="AN236" s="2"/>
      <c r="AO236" s="2"/>
      <c r="AP236" s="2"/>
      <c r="AQ236" s="2"/>
      <c r="AR236" s="2"/>
      <c r="AS236" s="2"/>
      <c r="AT236" s="2"/>
      <c r="AU236" s="2"/>
      <c r="AV236" s="2"/>
      <c r="AW236" s="2"/>
      <c r="AX236" s="2"/>
      <c r="AY236" s="2"/>
      <c r="AZ236" s="2"/>
      <c r="BA236" s="2"/>
      <c r="BB236" s="2"/>
      <c r="BC236" s="2"/>
      <c r="BD236" s="2"/>
      <c r="BE236" s="2"/>
      <c r="BF236" s="2"/>
      <c r="BG236" s="2"/>
      <c r="BH236" s="2"/>
      <c r="BI236" s="2"/>
    </row>
    <row r="237" spans="1:61">
      <c r="A237" s="2"/>
      <c r="B237" s="2"/>
      <c r="C237" s="2"/>
      <c r="D237" s="2"/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  <c r="AA237" s="2"/>
      <c r="AB237" s="2"/>
      <c r="AC237" s="2"/>
      <c r="AD237" s="2"/>
      <c r="AE237" s="2"/>
      <c r="AF237" s="2"/>
      <c r="AG237" s="2"/>
      <c r="AH237" s="2"/>
      <c r="AI237" s="2"/>
      <c r="AJ237" s="2"/>
      <c r="AK237" s="2"/>
      <c r="AL237" s="2"/>
      <c r="AM237" s="2"/>
      <c r="AN237" s="2"/>
      <c r="AO237" s="2"/>
      <c r="AP237" s="2"/>
      <c r="AQ237" s="2"/>
      <c r="AR237" s="2"/>
      <c r="AS237" s="2"/>
      <c r="AT237" s="2"/>
      <c r="AU237" s="2"/>
      <c r="AV237" s="2"/>
      <c r="AW237" s="2"/>
      <c r="AX237" s="2"/>
      <c r="AY237" s="2"/>
      <c r="AZ237" s="2"/>
      <c r="BA237" s="2"/>
      <c r="BB237" s="2"/>
      <c r="BC237" s="2"/>
      <c r="BD237" s="2"/>
      <c r="BE237" s="2"/>
      <c r="BF237" s="2"/>
      <c r="BG237" s="2"/>
      <c r="BH237" s="2"/>
      <c r="BI237" s="2"/>
    </row>
    <row r="238" spans="1:61">
      <c r="A238" s="2"/>
      <c r="B238" s="2"/>
      <c r="C238" s="2"/>
      <c r="D238" s="2"/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  <c r="AA238" s="2"/>
      <c r="AB238" s="2"/>
      <c r="AC238" s="2"/>
      <c r="AD238" s="2"/>
      <c r="AE238" s="2"/>
      <c r="AF238" s="2"/>
      <c r="AG238" s="2"/>
      <c r="AH238" s="2"/>
      <c r="AI238" s="2"/>
      <c r="AJ238" s="2"/>
      <c r="AK238" s="2"/>
      <c r="AL238" s="2"/>
      <c r="AM238" s="2"/>
      <c r="AN238" s="2"/>
      <c r="AO238" s="2"/>
      <c r="AP238" s="2"/>
      <c r="AQ238" s="2"/>
      <c r="AR238" s="2"/>
      <c r="AS238" s="2"/>
      <c r="AT238" s="2"/>
      <c r="AU238" s="2"/>
      <c r="AV238" s="2"/>
      <c r="AW238" s="2"/>
      <c r="AX238" s="2"/>
      <c r="AY238" s="2"/>
      <c r="AZ238" s="2"/>
      <c r="BA238" s="2"/>
      <c r="BB238" s="2"/>
      <c r="BC238" s="2"/>
      <c r="BD238" s="2"/>
      <c r="BE238" s="2"/>
      <c r="BF238" s="2"/>
      <c r="BG238" s="2"/>
      <c r="BH238" s="2"/>
      <c r="BI238" s="2"/>
    </row>
    <row r="239" spans="1:61">
      <c r="A239" s="2"/>
      <c r="B239" s="2"/>
      <c r="C239" s="2"/>
      <c r="D239" s="2"/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  <c r="AA239" s="2"/>
      <c r="AB239" s="2"/>
      <c r="AC239" s="2"/>
      <c r="AD239" s="2"/>
      <c r="AE239" s="2"/>
      <c r="AF239" s="2"/>
      <c r="AG239" s="2"/>
      <c r="AH239" s="2"/>
      <c r="AI239" s="2"/>
      <c r="AJ239" s="2"/>
      <c r="AK239" s="2"/>
      <c r="AL239" s="2"/>
      <c r="AM239" s="2"/>
      <c r="AN239" s="2"/>
      <c r="AO239" s="2"/>
      <c r="AP239" s="2"/>
      <c r="AQ239" s="2"/>
      <c r="AR239" s="2"/>
      <c r="AS239" s="2"/>
      <c r="AT239" s="2"/>
      <c r="AU239" s="2"/>
      <c r="AV239" s="2"/>
      <c r="AW239" s="2"/>
      <c r="AX239" s="2"/>
      <c r="AY239" s="2"/>
      <c r="AZ239" s="2"/>
      <c r="BA239" s="2"/>
      <c r="BB239" s="2"/>
      <c r="BC239" s="2"/>
      <c r="BD239" s="2"/>
      <c r="BE239" s="2"/>
      <c r="BF239" s="2"/>
      <c r="BG239" s="2"/>
      <c r="BH239" s="2"/>
      <c r="BI239" s="2"/>
    </row>
    <row r="240" spans="1:61">
      <c r="A240" s="2"/>
      <c r="B240" s="2"/>
      <c r="C240" s="2"/>
      <c r="D240" s="2"/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  <c r="AA240" s="2"/>
      <c r="AB240" s="2"/>
      <c r="AC240" s="2"/>
      <c r="AD240" s="2"/>
      <c r="AE240" s="2"/>
      <c r="AF240" s="2"/>
      <c r="AG240" s="2"/>
      <c r="AH240" s="2"/>
      <c r="AI240" s="2"/>
      <c r="AJ240" s="2"/>
      <c r="AK240" s="2"/>
      <c r="AL240" s="2"/>
      <c r="AM240" s="2"/>
      <c r="AN240" s="2"/>
      <c r="AO240" s="2"/>
      <c r="AP240" s="2"/>
      <c r="AQ240" s="2"/>
      <c r="AR240" s="2"/>
      <c r="AS240" s="2"/>
      <c r="AT240" s="2"/>
      <c r="AU240" s="2"/>
      <c r="AV240" s="2"/>
      <c r="AW240" s="2"/>
      <c r="AX240" s="2"/>
      <c r="AY240" s="2"/>
      <c r="AZ240" s="2"/>
      <c r="BA240" s="2"/>
      <c r="BB240" s="2"/>
      <c r="BC240" s="2"/>
      <c r="BD240" s="2"/>
      <c r="BE240" s="2"/>
      <c r="BF240" s="2"/>
      <c r="BG240" s="2"/>
      <c r="BH240" s="2"/>
      <c r="BI240" s="2"/>
    </row>
    <row r="241" spans="1:61">
      <c r="A241" s="2"/>
      <c r="B241" s="2"/>
      <c r="C241" s="2"/>
      <c r="D241" s="2"/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  <c r="AA241" s="2"/>
      <c r="AB241" s="2"/>
      <c r="AC241" s="2"/>
      <c r="AD241" s="2"/>
      <c r="AE241" s="2"/>
      <c r="AF241" s="2"/>
      <c r="AG241" s="2"/>
      <c r="AH241" s="2"/>
      <c r="AI241" s="2"/>
      <c r="AJ241" s="2"/>
      <c r="AK241" s="2"/>
      <c r="AL241" s="2"/>
      <c r="AM241" s="2"/>
      <c r="AN241" s="2"/>
      <c r="AO241" s="2"/>
      <c r="AP241" s="2"/>
      <c r="AQ241" s="2"/>
      <c r="AR241" s="2"/>
      <c r="AS241" s="2"/>
      <c r="AT241" s="2"/>
      <c r="AU241" s="2"/>
      <c r="AV241" s="2"/>
      <c r="AW241" s="2"/>
      <c r="AX241" s="2"/>
      <c r="AY241" s="2"/>
      <c r="AZ241" s="2"/>
      <c r="BA241" s="2"/>
      <c r="BB241" s="2"/>
      <c r="BC241" s="2"/>
      <c r="BD241" s="2"/>
      <c r="BE241" s="2"/>
      <c r="BF241" s="2"/>
      <c r="BG241" s="2"/>
      <c r="BH241" s="2"/>
      <c r="BI241" s="2"/>
    </row>
    <row r="242" spans="1:61">
      <c r="A242" s="2"/>
      <c r="B242" s="2"/>
      <c r="C242" s="2"/>
      <c r="D242" s="2"/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  <c r="AA242" s="2"/>
      <c r="AB242" s="2"/>
      <c r="AC242" s="2"/>
      <c r="AD242" s="2"/>
      <c r="AE242" s="2"/>
      <c r="AF242" s="2"/>
      <c r="AG242" s="2"/>
      <c r="AH242" s="2"/>
      <c r="AI242" s="2"/>
      <c r="AJ242" s="2"/>
      <c r="AK242" s="2"/>
      <c r="AL242" s="2"/>
      <c r="AM242" s="2"/>
      <c r="AN242" s="2"/>
      <c r="AO242" s="2"/>
      <c r="AP242" s="2"/>
      <c r="AQ242" s="2"/>
      <c r="AR242" s="2"/>
      <c r="AS242" s="2"/>
      <c r="AT242" s="2"/>
      <c r="AU242" s="2"/>
      <c r="AV242" s="2"/>
      <c r="AW242" s="2"/>
      <c r="AX242" s="2"/>
      <c r="AY242" s="2"/>
      <c r="AZ242" s="2"/>
      <c r="BA242" s="2"/>
      <c r="BB242" s="2"/>
      <c r="BC242" s="2"/>
      <c r="BD242" s="2"/>
      <c r="BE242" s="2"/>
      <c r="BF242" s="2"/>
      <c r="BG242" s="2"/>
      <c r="BH242" s="2"/>
      <c r="BI242" s="2"/>
    </row>
    <row r="243" spans="1:61">
      <c r="A243" s="2"/>
      <c r="B243" s="2"/>
      <c r="C243" s="2"/>
      <c r="D243" s="2"/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  <c r="AA243" s="2"/>
      <c r="AB243" s="2"/>
      <c r="AC243" s="2"/>
      <c r="AD243" s="2"/>
      <c r="AE243" s="2"/>
      <c r="AF243" s="2"/>
      <c r="AG243" s="2"/>
      <c r="AH243" s="2"/>
      <c r="AI243" s="2"/>
      <c r="AJ243" s="2"/>
      <c r="AK243" s="2"/>
      <c r="AL243" s="2"/>
      <c r="AM243" s="2"/>
      <c r="AN243" s="2"/>
      <c r="AO243" s="2"/>
      <c r="AP243" s="2"/>
      <c r="AQ243" s="2"/>
      <c r="AR243" s="2"/>
      <c r="AS243" s="2"/>
      <c r="AT243" s="2"/>
      <c r="AU243" s="2"/>
      <c r="AV243" s="2"/>
      <c r="AW243" s="2"/>
      <c r="AX243" s="2"/>
      <c r="AY243" s="2"/>
      <c r="AZ243" s="2"/>
      <c r="BA243" s="2"/>
      <c r="BB243" s="2"/>
      <c r="BC243" s="2"/>
      <c r="BD243" s="2"/>
      <c r="BE243" s="2"/>
      <c r="BF243" s="2"/>
      <c r="BG243" s="2"/>
      <c r="BH243" s="2"/>
      <c r="BI243" s="2"/>
    </row>
    <row r="244" spans="1:61">
      <c r="A244" s="2"/>
      <c r="B244" s="2"/>
      <c r="C244" s="2"/>
      <c r="D244" s="2"/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  <c r="AA244" s="2"/>
      <c r="AB244" s="2"/>
      <c r="AC244" s="2"/>
      <c r="AD244" s="2"/>
      <c r="AE244" s="2"/>
      <c r="AF244" s="2"/>
      <c r="AG244" s="2"/>
      <c r="AH244" s="2"/>
      <c r="AI244" s="2"/>
      <c r="AJ244" s="2"/>
      <c r="AK244" s="2"/>
      <c r="AL244" s="2"/>
      <c r="AM244" s="2"/>
      <c r="AN244" s="2"/>
      <c r="AO244" s="2"/>
      <c r="AP244" s="2"/>
      <c r="AQ244" s="2"/>
      <c r="AR244" s="2"/>
      <c r="AS244" s="2"/>
      <c r="AT244" s="2"/>
      <c r="AU244" s="2"/>
      <c r="AV244" s="2"/>
      <c r="AW244" s="2"/>
      <c r="AX244" s="2"/>
      <c r="AY244" s="2"/>
      <c r="AZ244" s="2"/>
      <c r="BA244" s="2"/>
      <c r="BB244" s="2"/>
      <c r="BC244" s="2"/>
      <c r="BD244" s="2"/>
      <c r="BE244" s="2"/>
      <c r="BF244" s="2"/>
      <c r="BG244" s="2"/>
      <c r="BH244" s="2"/>
      <c r="BI244" s="2"/>
    </row>
    <row r="245" spans="1:61">
      <c r="A245" s="2"/>
      <c r="B245" s="2"/>
      <c r="C245" s="2"/>
      <c r="D245" s="2"/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  <c r="AA245" s="2"/>
      <c r="AB245" s="2"/>
      <c r="AC245" s="2"/>
      <c r="AD245" s="2"/>
      <c r="AE245" s="2"/>
      <c r="AF245" s="2"/>
      <c r="AG245" s="2"/>
      <c r="AH245" s="2"/>
      <c r="AI245" s="2"/>
      <c r="AJ245" s="2"/>
      <c r="AK245" s="2"/>
      <c r="AL245" s="2"/>
      <c r="AM245" s="2"/>
      <c r="AN245" s="2"/>
      <c r="AO245" s="2"/>
      <c r="AP245" s="2"/>
      <c r="AQ245" s="2"/>
      <c r="AR245" s="2"/>
      <c r="AS245" s="2"/>
      <c r="AT245" s="2"/>
      <c r="AU245" s="2"/>
      <c r="AV245" s="2"/>
      <c r="AW245" s="2"/>
      <c r="AX245" s="2"/>
      <c r="AY245" s="2"/>
      <c r="AZ245" s="2"/>
      <c r="BA245" s="2"/>
      <c r="BB245" s="2"/>
      <c r="BC245" s="2"/>
      <c r="BD245" s="2"/>
      <c r="BE245" s="2"/>
      <c r="BF245" s="2"/>
      <c r="BG245" s="2"/>
      <c r="BH245" s="2"/>
      <c r="BI245" s="2"/>
    </row>
    <row r="246" spans="1:61">
      <c r="A246" s="2"/>
      <c r="B246" s="2"/>
      <c r="C246" s="2"/>
      <c r="D246" s="2"/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  <c r="AA246" s="2"/>
      <c r="AB246" s="2"/>
      <c r="AC246" s="2"/>
      <c r="AD246" s="2"/>
      <c r="AE246" s="2"/>
      <c r="AF246" s="2"/>
      <c r="AG246" s="2"/>
      <c r="AH246" s="2"/>
      <c r="AI246" s="2"/>
      <c r="AJ246" s="2"/>
      <c r="AK246" s="2"/>
      <c r="AL246" s="2"/>
      <c r="AM246" s="2"/>
      <c r="AN246" s="2"/>
      <c r="AO246" s="2"/>
      <c r="AP246" s="2"/>
      <c r="AQ246" s="2"/>
      <c r="AR246" s="2"/>
      <c r="AS246" s="2"/>
      <c r="AT246" s="2"/>
      <c r="AU246" s="2"/>
      <c r="AV246" s="2"/>
      <c r="AW246" s="2"/>
      <c r="AX246" s="2"/>
      <c r="AY246" s="2"/>
      <c r="AZ246" s="2"/>
      <c r="BA246" s="2"/>
      <c r="BB246" s="2"/>
      <c r="BC246" s="2"/>
      <c r="BD246" s="2"/>
      <c r="BE246" s="2"/>
      <c r="BF246" s="2"/>
      <c r="BG246" s="2"/>
      <c r="BH246" s="2"/>
      <c r="BI246" s="2"/>
    </row>
    <row r="247" spans="1:61">
      <c r="A247" s="2"/>
      <c r="B247" s="2"/>
      <c r="C247" s="2"/>
      <c r="D247" s="2"/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  <c r="AA247" s="2"/>
      <c r="AB247" s="2"/>
      <c r="AC247" s="2"/>
      <c r="AD247" s="2"/>
      <c r="AE247" s="2"/>
      <c r="AF247" s="2"/>
      <c r="AG247" s="2"/>
      <c r="AH247" s="2"/>
      <c r="AI247" s="2"/>
      <c r="AJ247" s="2"/>
      <c r="AK247" s="2"/>
      <c r="AL247" s="2"/>
      <c r="AM247" s="2"/>
      <c r="AN247" s="2"/>
      <c r="AO247" s="2"/>
      <c r="AP247" s="2"/>
      <c r="AQ247" s="2"/>
      <c r="AR247" s="2"/>
      <c r="AS247" s="2"/>
      <c r="AT247" s="2"/>
      <c r="AU247" s="2"/>
      <c r="AV247" s="2"/>
      <c r="AW247" s="2"/>
      <c r="AX247" s="2"/>
      <c r="AY247" s="2"/>
      <c r="AZ247" s="2"/>
      <c r="BA247" s="2"/>
      <c r="BB247" s="2"/>
      <c r="BC247" s="2"/>
      <c r="BD247" s="2"/>
      <c r="BE247" s="2"/>
      <c r="BF247" s="2"/>
      <c r="BG247" s="2"/>
      <c r="BH247" s="2"/>
      <c r="BI247" s="2"/>
    </row>
    <row r="248" spans="1:61">
      <c r="A248" s="2"/>
      <c r="B248" s="2"/>
      <c r="C248" s="2"/>
      <c r="D248" s="2"/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  <c r="AA248" s="2"/>
      <c r="AB248" s="2"/>
      <c r="AC248" s="2"/>
      <c r="AD248" s="2"/>
      <c r="AE248" s="2"/>
      <c r="AF248" s="2"/>
      <c r="AG248" s="2"/>
      <c r="AH248" s="2"/>
      <c r="AI248" s="2"/>
      <c r="AJ248" s="2"/>
      <c r="AK248" s="2"/>
      <c r="AL248" s="2"/>
      <c r="AM248" s="2"/>
      <c r="AN248" s="2"/>
      <c r="AO248" s="2"/>
      <c r="AP248" s="2"/>
      <c r="AQ248" s="2"/>
      <c r="AR248" s="2"/>
      <c r="AS248" s="2"/>
      <c r="AT248" s="2"/>
      <c r="AU248" s="2"/>
      <c r="AV248" s="2"/>
      <c r="AW248" s="2"/>
      <c r="AX248" s="2"/>
      <c r="AY248" s="2"/>
      <c r="AZ248" s="2"/>
      <c r="BA248" s="2"/>
      <c r="BB248" s="2"/>
      <c r="BC248" s="2"/>
      <c r="BD248" s="2"/>
      <c r="BE248" s="2"/>
      <c r="BF248" s="2"/>
      <c r="BG248" s="2"/>
      <c r="BH248" s="2"/>
      <c r="BI248" s="2"/>
    </row>
    <row r="249" spans="1:61">
      <c r="A249" s="2"/>
      <c r="B249" s="2"/>
      <c r="C249" s="2"/>
      <c r="D249" s="2"/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  <c r="AA249" s="2"/>
      <c r="AB249" s="2"/>
      <c r="AC249" s="2"/>
      <c r="AD249" s="2"/>
      <c r="AE249" s="2"/>
      <c r="AF249" s="2"/>
      <c r="AG249" s="2"/>
      <c r="AH249" s="2"/>
      <c r="AI249" s="2"/>
      <c r="AJ249" s="2"/>
      <c r="AK249" s="2"/>
      <c r="AL249" s="2"/>
      <c r="AM249" s="2"/>
      <c r="AN249" s="2"/>
      <c r="AO249" s="2"/>
      <c r="AP249" s="2"/>
      <c r="AQ249" s="2"/>
      <c r="AR249" s="2"/>
      <c r="AS249" s="2"/>
      <c r="AT249" s="2"/>
      <c r="AU249" s="2"/>
      <c r="AV249" s="2"/>
      <c r="AW249" s="2"/>
      <c r="AX249" s="2"/>
      <c r="AY249" s="2"/>
      <c r="AZ249" s="2"/>
      <c r="BA249" s="2"/>
      <c r="BB249" s="2"/>
      <c r="BC249" s="2"/>
      <c r="BD249" s="2"/>
      <c r="BE249" s="2"/>
      <c r="BF249" s="2"/>
      <c r="BG249" s="2"/>
      <c r="BH249" s="2"/>
      <c r="BI249" s="2"/>
    </row>
    <row r="250" spans="1:61">
      <c r="A250" s="2"/>
      <c r="B250" s="2"/>
      <c r="C250" s="2"/>
      <c r="D250" s="2"/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  <c r="AA250" s="2"/>
      <c r="AB250" s="2"/>
      <c r="AC250" s="2"/>
      <c r="AD250" s="2"/>
      <c r="AE250" s="2"/>
      <c r="AF250" s="2"/>
      <c r="AG250" s="2"/>
      <c r="AH250" s="2"/>
      <c r="AI250" s="2"/>
      <c r="AJ250" s="2"/>
      <c r="AK250" s="2"/>
      <c r="AL250" s="2"/>
      <c r="AM250" s="2"/>
      <c r="AN250" s="2"/>
      <c r="AO250" s="2"/>
      <c r="AP250" s="2"/>
      <c r="AQ250" s="2"/>
      <c r="AR250" s="2"/>
      <c r="AS250" s="2"/>
      <c r="AT250" s="2"/>
      <c r="AU250" s="2"/>
      <c r="AV250" s="2"/>
      <c r="AW250" s="2"/>
      <c r="AX250" s="2"/>
      <c r="AY250" s="2"/>
      <c r="AZ250" s="2"/>
      <c r="BA250" s="2"/>
      <c r="BB250" s="2"/>
      <c r="BC250" s="2"/>
      <c r="BD250" s="2"/>
      <c r="BE250" s="2"/>
      <c r="BF250" s="2"/>
      <c r="BG250" s="2"/>
      <c r="BH250" s="2"/>
      <c r="BI250" s="2"/>
    </row>
    <row r="251" spans="1:61">
      <c r="A251" s="2"/>
      <c r="B251" s="2"/>
      <c r="C251" s="2"/>
      <c r="D251" s="2"/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  <c r="AA251" s="2"/>
      <c r="AB251" s="2"/>
      <c r="AC251" s="2"/>
      <c r="AD251" s="2"/>
      <c r="AE251" s="2"/>
      <c r="AF251" s="2"/>
      <c r="AG251" s="2"/>
      <c r="AH251" s="2"/>
      <c r="AI251" s="2"/>
      <c r="AJ251" s="2"/>
      <c r="AK251" s="2"/>
      <c r="AL251" s="2"/>
      <c r="AM251" s="2"/>
      <c r="AN251" s="2"/>
      <c r="AO251" s="2"/>
      <c r="AP251" s="2"/>
      <c r="AQ251" s="2"/>
      <c r="AR251" s="2"/>
      <c r="AS251" s="2"/>
      <c r="AT251" s="2"/>
      <c r="AU251" s="2"/>
      <c r="AV251" s="2"/>
      <c r="AW251" s="2"/>
      <c r="AX251" s="2"/>
      <c r="AY251" s="2"/>
      <c r="AZ251" s="2"/>
      <c r="BA251" s="2"/>
      <c r="BB251" s="2"/>
      <c r="BC251" s="2"/>
      <c r="BD251" s="2"/>
      <c r="BE251" s="2"/>
      <c r="BF251" s="2"/>
      <c r="BG251" s="2"/>
      <c r="BH251" s="2"/>
      <c r="BI251" s="2"/>
    </row>
    <row r="252" spans="1:61">
      <c r="A252" s="2"/>
      <c r="B252" s="2"/>
      <c r="C252" s="2"/>
      <c r="D252" s="2"/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  <c r="AA252" s="2"/>
      <c r="AB252" s="2"/>
      <c r="AC252" s="2"/>
      <c r="AD252" s="2"/>
      <c r="AE252" s="2"/>
      <c r="AF252" s="2"/>
      <c r="AG252" s="2"/>
      <c r="AH252" s="2"/>
      <c r="AI252" s="2"/>
      <c r="AJ252" s="2"/>
      <c r="AK252" s="2"/>
      <c r="AL252" s="2"/>
      <c r="AM252" s="2"/>
      <c r="AN252" s="2"/>
      <c r="AO252" s="2"/>
      <c r="AP252" s="2"/>
      <c r="AQ252" s="2"/>
      <c r="AR252" s="2"/>
      <c r="AS252" s="2"/>
      <c r="AT252" s="2"/>
      <c r="AU252" s="2"/>
      <c r="AV252" s="2"/>
      <c r="AW252" s="2"/>
      <c r="AX252" s="2"/>
      <c r="AY252" s="2"/>
      <c r="AZ252" s="2"/>
      <c r="BA252" s="2"/>
      <c r="BB252" s="2"/>
      <c r="BC252" s="2"/>
      <c r="BD252" s="2"/>
      <c r="BE252" s="2"/>
      <c r="BF252" s="2"/>
      <c r="BG252" s="2"/>
      <c r="BH252" s="2"/>
      <c r="BI252" s="2"/>
    </row>
    <row r="253" spans="1:61">
      <c r="A253" s="2"/>
      <c r="B253" s="2"/>
      <c r="C253" s="2"/>
      <c r="D253" s="2"/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  <c r="AA253" s="2"/>
      <c r="AB253" s="2"/>
      <c r="AC253" s="2"/>
      <c r="AD253" s="2"/>
      <c r="AE253" s="2"/>
      <c r="AF253" s="2"/>
      <c r="AG253" s="2"/>
      <c r="AH253" s="2"/>
      <c r="AI253" s="2"/>
      <c r="AJ253" s="2"/>
      <c r="AK253" s="2"/>
      <c r="AL253" s="2"/>
      <c r="AM253" s="2"/>
      <c r="AN253" s="2"/>
      <c r="AO253" s="2"/>
      <c r="AP253" s="2"/>
      <c r="AQ253" s="2"/>
      <c r="AR253" s="2"/>
      <c r="AS253" s="2"/>
      <c r="AT253" s="2"/>
      <c r="AU253" s="2"/>
      <c r="AV253" s="2"/>
      <c r="AW253" s="2"/>
      <c r="AX253" s="2"/>
      <c r="AY253" s="2"/>
      <c r="AZ253" s="2"/>
      <c r="BA253" s="2"/>
      <c r="BB253" s="2"/>
      <c r="BC253" s="2"/>
      <c r="BD253" s="2"/>
      <c r="BE253" s="2"/>
      <c r="BF253" s="2"/>
      <c r="BG253" s="2"/>
      <c r="BH253" s="2"/>
      <c r="BI253" s="2"/>
    </row>
    <row r="254" spans="1:61">
      <c r="A254" s="2"/>
      <c r="B254" s="2"/>
      <c r="C254" s="2"/>
      <c r="D254" s="2"/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  <c r="AA254" s="2"/>
      <c r="AB254" s="2"/>
      <c r="AC254" s="2"/>
      <c r="AD254" s="2"/>
      <c r="AE254" s="2"/>
      <c r="AF254" s="2"/>
      <c r="AG254" s="2"/>
      <c r="AH254" s="2"/>
      <c r="AI254" s="2"/>
      <c r="AJ254" s="2"/>
      <c r="AK254" s="2"/>
      <c r="AL254" s="2"/>
      <c r="AM254" s="2"/>
      <c r="AN254" s="2"/>
      <c r="AO254" s="2"/>
      <c r="AP254" s="2"/>
      <c r="AQ254" s="2"/>
      <c r="AR254" s="2"/>
      <c r="AS254" s="2"/>
      <c r="AT254" s="2"/>
      <c r="AU254" s="2"/>
      <c r="AV254" s="2"/>
      <c r="AW254" s="2"/>
      <c r="AX254" s="2"/>
      <c r="AY254" s="2"/>
      <c r="AZ254" s="2"/>
      <c r="BA254" s="2"/>
      <c r="BB254" s="2"/>
      <c r="BC254" s="2"/>
      <c r="BD254" s="2"/>
      <c r="BE254" s="2"/>
      <c r="BF254" s="2"/>
      <c r="BG254" s="2"/>
      <c r="BH254" s="2"/>
      <c r="BI254" s="2"/>
    </row>
    <row r="255" spans="1:61">
      <c r="A255" s="2"/>
      <c r="B255" s="2"/>
      <c r="C255" s="2"/>
      <c r="D255" s="2"/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  <c r="AA255" s="2"/>
      <c r="AB255" s="2"/>
      <c r="AC255" s="2"/>
      <c r="AD255" s="2"/>
      <c r="AE255" s="2"/>
      <c r="AF255" s="2"/>
      <c r="AG255" s="2"/>
      <c r="AH255" s="2"/>
      <c r="AI255" s="2"/>
      <c r="AJ255" s="2"/>
      <c r="AK255" s="2"/>
      <c r="AL255" s="2"/>
      <c r="AM255" s="2"/>
      <c r="AN255" s="2"/>
      <c r="AO255" s="2"/>
      <c r="AP255" s="2"/>
      <c r="AQ255" s="2"/>
      <c r="AR255" s="2"/>
      <c r="AS255" s="2"/>
      <c r="AT255" s="2"/>
      <c r="AU255" s="2"/>
      <c r="AV255" s="2"/>
      <c r="AW255" s="2"/>
      <c r="AX255" s="2"/>
      <c r="AY255" s="2"/>
      <c r="AZ255" s="2"/>
      <c r="BA255" s="2"/>
      <c r="BB255" s="2"/>
      <c r="BC255" s="2"/>
      <c r="BD255" s="2"/>
      <c r="BE255" s="2"/>
      <c r="BF255" s="2"/>
      <c r="BG255" s="2"/>
      <c r="BH255" s="2"/>
      <c r="BI255" s="2"/>
    </row>
    <row r="256" spans="1:61">
      <c r="A256" s="2"/>
      <c r="B256" s="2"/>
      <c r="C256" s="2"/>
      <c r="D256" s="2"/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  <c r="AA256" s="2"/>
      <c r="AB256" s="2"/>
      <c r="AC256" s="2"/>
      <c r="AD256" s="2"/>
      <c r="AE256" s="2"/>
      <c r="AF256" s="2"/>
      <c r="AG256" s="2"/>
      <c r="AH256" s="2"/>
      <c r="AI256" s="2"/>
      <c r="AJ256" s="2"/>
      <c r="AK256" s="2"/>
      <c r="AL256" s="2"/>
      <c r="AM256" s="2"/>
      <c r="AN256" s="2"/>
      <c r="AO256" s="2"/>
      <c r="AP256" s="2"/>
      <c r="AQ256" s="2"/>
      <c r="AR256" s="2"/>
      <c r="AS256" s="2"/>
      <c r="AT256" s="2"/>
      <c r="AU256" s="2"/>
      <c r="AV256" s="2"/>
      <c r="AW256" s="2"/>
      <c r="AX256" s="2"/>
      <c r="AY256" s="2"/>
      <c r="AZ256" s="2"/>
      <c r="BA256" s="2"/>
      <c r="BB256" s="2"/>
      <c r="BC256" s="2"/>
      <c r="BD256" s="2"/>
      <c r="BE256" s="2"/>
      <c r="BF256" s="2"/>
      <c r="BG256" s="2"/>
      <c r="BH256" s="2"/>
      <c r="BI256" s="2"/>
    </row>
    <row r="257" spans="1:61">
      <c r="A257" s="2"/>
      <c r="B257" s="2"/>
      <c r="C257" s="2"/>
      <c r="D257" s="2"/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  <c r="AA257" s="2"/>
      <c r="AB257" s="2"/>
      <c r="AC257" s="2"/>
      <c r="AD257" s="2"/>
      <c r="AE257" s="2"/>
      <c r="AF257" s="2"/>
      <c r="AG257" s="2"/>
      <c r="AH257" s="2"/>
      <c r="AI257" s="2"/>
      <c r="AJ257" s="2"/>
      <c r="AK257" s="2"/>
      <c r="AL257" s="2"/>
      <c r="AM257" s="2"/>
      <c r="AN257" s="2"/>
      <c r="AO257" s="2"/>
      <c r="AP257" s="2"/>
      <c r="AQ257" s="2"/>
      <c r="AR257" s="2"/>
      <c r="AS257" s="2"/>
      <c r="AT257" s="2"/>
      <c r="AU257" s="2"/>
      <c r="AV257" s="2"/>
      <c r="AW257" s="2"/>
      <c r="AX257" s="2"/>
      <c r="AY257" s="2"/>
      <c r="AZ257" s="2"/>
      <c r="BA257" s="2"/>
      <c r="BB257" s="2"/>
      <c r="BC257" s="2"/>
      <c r="BD257" s="2"/>
      <c r="BE257" s="2"/>
      <c r="BF257" s="2"/>
      <c r="BG257" s="2"/>
      <c r="BH257" s="2"/>
      <c r="BI257" s="2"/>
    </row>
    <row r="258" spans="1:61">
      <c r="A258" s="2"/>
      <c r="B258" s="2"/>
      <c r="C258" s="2"/>
      <c r="D258" s="2"/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  <c r="AA258" s="2"/>
      <c r="AB258" s="2"/>
      <c r="AC258" s="2"/>
      <c r="AD258" s="2"/>
      <c r="AE258" s="2"/>
      <c r="AF258" s="2"/>
      <c r="AG258" s="2"/>
      <c r="AH258" s="2"/>
      <c r="AI258" s="2"/>
      <c r="AJ258" s="2"/>
      <c r="AK258" s="2"/>
      <c r="AL258" s="2"/>
      <c r="AM258" s="2"/>
      <c r="AN258" s="2"/>
      <c r="AO258" s="2"/>
      <c r="AP258" s="2"/>
      <c r="AQ258" s="2"/>
      <c r="AR258" s="2"/>
      <c r="AS258" s="2"/>
      <c r="AT258" s="2"/>
      <c r="AU258" s="2"/>
      <c r="AV258" s="2"/>
      <c r="AW258" s="2"/>
      <c r="AX258" s="2"/>
      <c r="AY258" s="2"/>
      <c r="AZ258" s="2"/>
      <c r="BA258" s="2"/>
      <c r="BB258" s="2"/>
      <c r="BC258" s="2"/>
      <c r="BD258" s="2"/>
      <c r="BE258" s="2"/>
      <c r="BF258" s="2"/>
      <c r="BG258" s="2"/>
      <c r="BH258" s="2"/>
      <c r="BI258" s="2"/>
    </row>
    <row r="259" spans="1:61">
      <c r="A259" s="2"/>
      <c r="B259" s="2"/>
      <c r="C259" s="2"/>
      <c r="D259" s="2"/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  <c r="AA259" s="2"/>
      <c r="AB259" s="2"/>
      <c r="AC259" s="2"/>
      <c r="AD259" s="2"/>
      <c r="AE259" s="2"/>
      <c r="AF259" s="2"/>
      <c r="AG259" s="2"/>
      <c r="AH259" s="2"/>
      <c r="AI259" s="2"/>
      <c r="AJ259" s="2"/>
      <c r="AK259" s="2"/>
      <c r="AL259" s="2"/>
      <c r="AM259" s="2"/>
      <c r="AN259" s="2"/>
      <c r="AO259" s="2"/>
      <c r="AP259" s="2"/>
      <c r="AQ259" s="2"/>
      <c r="AR259" s="2"/>
      <c r="AS259" s="2"/>
      <c r="AT259" s="2"/>
      <c r="AU259" s="2"/>
      <c r="AV259" s="2"/>
      <c r="AW259" s="2"/>
      <c r="AX259" s="2"/>
      <c r="AY259" s="2"/>
      <c r="AZ259" s="2"/>
      <c r="BA259" s="2"/>
      <c r="BB259" s="2"/>
      <c r="BC259" s="2"/>
      <c r="BD259" s="2"/>
      <c r="BE259" s="2"/>
      <c r="BF259" s="2"/>
      <c r="BG259" s="2"/>
      <c r="BH259" s="2"/>
      <c r="BI259" s="2"/>
    </row>
    <row r="260" spans="1:61">
      <c r="A260" s="2"/>
      <c r="B260" s="2"/>
      <c r="C260" s="2"/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  <c r="AA260" s="2"/>
      <c r="AB260" s="2"/>
      <c r="AC260" s="2"/>
      <c r="AD260" s="2"/>
      <c r="AE260" s="2"/>
      <c r="AF260" s="2"/>
      <c r="AG260" s="2"/>
      <c r="AH260" s="2"/>
      <c r="AI260" s="2"/>
      <c r="AJ260" s="2"/>
      <c r="AK260" s="2"/>
      <c r="AL260" s="2"/>
      <c r="AM260" s="2"/>
      <c r="AN260" s="2"/>
      <c r="AO260" s="2"/>
      <c r="AP260" s="2"/>
      <c r="AQ260" s="2"/>
      <c r="AR260" s="2"/>
      <c r="AS260" s="2"/>
      <c r="AT260" s="2"/>
      <c r="AU260" s="2"/>
      <c r="AV260" s="2"/>
      <c r="AW260" s="2"/>
      <c r="AX260" s="2"/>
      <c r="AY260" s="2"/>
      <c r="AZ260" s="2"/>
      <c r="BA260" s="2"/>
      <c r="BB260" s="2"/>
      <c r="BC260" s="2"/>
      <c r="BD260" s="2"/>
      <c r="BE260" s="2"/>
      <c r="BF260" s="2"/>
      <c r="BG260" s="2"/>
      <c r="BH260" s="2"/>
      <c r="BI260" s="2"/>
    </row>
    <row r="261" spans="1:61">
      <c r="A261" s="2"/>
      <c r="B261" s="2"/>
      <c r="C261" s="2"/>
      <c r="D261" s="2"/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  <c r="AA261" s="2"/>
      <c r="AB261" s="2"/>
      <c r="AC261" s="2"/>
      <c r="AD261" s="2"/>
      <c r="AE261" s="2"/>
      <c r="AF261" s="2"/>
      <c r="AG261" s="2"/>
      <c r="AH261" s="2"/>
      <c r="AI261" s="2"/>
      <c r="AJ261" s="2"/>
      <c r="AK261" s="2"/>
      <c r="AL261" s="2"/>
      <c r="AM261" s="2"/>
      <c r="AN261" s="2"/>
      <c r="AO261" s="2"/>
      <c r="AP261" s="2"/>
      <c r="AQ261" s="2"/>
      <c r="AR261" s="2"/>
      <c r="AS261" s="2"/>
      <c r="AT261" s="2"/>
      <c r="AU261" s="2"/>
      <c r="AV261" s="2"/>
      <c r="AW261" s="2"/>
      <c r="AX261" s="2"/>
      <c r="AY261" s="2"/>
      <c r="AZ261" s="2"/>
      <c r="BA261" s="2"/>
      <c r="BB261" s="2"/>
      <c r="BC261" s="2"/>
      <c r="BD261" s="2"/>
      <c r="BE261" s="2"/>
      <c r="BF261" s="2"/>
      <c r="BG261" s="2"/>
      <c r="BH261" s="2"/>
      <c r="BI261" s="2"/>
    </row>
    <row r="262" spans="1:61">
      <c r="A262" s="2"/>
      <c r="B262" s="2"/>
      <c r="C262" s="2"/>
      <c r="D262" s="2"/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  <c r="AA262" s="2"/>
      <c r="AB262" s="2"/>
      <c r="AC262" s="2"/>
      <c r="AD262" s="2"/>
      <c r="AE262" s="2"/>
      <c r="AF262" s="2"/>
      <c r="AG262" s="2"/>
      <c r="AH262" s="2"/>
      <c r="AI262" s="2"/>
      <c r="AJ262" s="2"/>
      <c r="AK262" s="2"/>
      <c r="AL262" s="2"/>
      <c r="AM262" s="2"/>
      <c r="AN262" s="2"/>
      <c r="AO262" s="2"/>
      <c r="AP262" s="2"/>
      <c r="AQ262" s="2"/>
      <c r="AR262" s="2"/>
      <c r="AS262" s="2"/>
      <c r="AT262" s="2"/>
      <c r="AU262" s="2"/>
      <c r="AV262" s="2"/>
      <c r="AW262" s="2"/>
      <c r="AX262" s="2"/>
      <c r="AY262" s="2"/>
      <c r="AZ262" s="2"/>
      <c r="BA262" s="2"/>
      <c r="BB262" s="2"/>
      <c r="BC262" s="2"/>
      <c r="BD262" s="2"/>
      <c r="BE262" s="2"/>
      <c r="BF262" s="2"/>
      <c r="BG262" s="2"/>
      <c r="BH262" s="2"/>
      <c r="BI262" s="2"/>
    </row>
    <row r="263" spans="1:61">
      <c r="A263" s="2"/>
      <c r="B263" s="2"/>
      <c r="C263" s="2"/>
      <c r="D263" s="2"/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  <c r="AA263" s="2"/>
      <c r="AB263" s="2"/>
      <c r="AC263" s="2"/>
      <c r="AD263" s="2"/>
      <c r="AE263" s="2"/>
      <c r="AF263" s="2"/>
      <c r="AG263" s="2"/>
      <c r="AH263" s="2"/>
      <c r="AI263" s="2"/>
      <c r="AJ263" s="2"/>
      <c r="AK263" s="2"/>
      <c r="AL263" s="2"/>
      <c r="AM263" s="2"/>
      <c r="AN263" s="2"/>
      <c r="AO263" s="2"/>
      <c r="AP263" s="2"/>
      <c r="AQ263" s="2"/>
      <c r="AR263" s="2"/>
      <c r="AS263" s="2"/>
      <c r="AT263" s="2"/>
      <c r="AU263" s="2"/>
      <c r="AV263" s="2"/>
      <c r="AW263" s="2"/>
      <c r="AX263" s="2"/>
      <c r="AY263" s="2"/>
      <c r="AZ263" s="2"/>
      <c r="BA263" s="2"/>
      <c r="BB263" s="2"/>
      <c r="BC263" s="2"/>
      <c r="BD263" s="2"/>
      <c r="BE263" s="2"/>
      <c r="BF263" s="2"/>
      <c r="BG263" s="2"/>
      <c r="BH263" s="2"/>
      <c r="BI263" s="2"/>
    </row>
    <row r="264" spans="1:61">
      <c r="A264" s="2"/>
      <c r="B264" s="2"/>
      <c r="C264" s="2"/>
      <c r="D264" s="2"/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  <c r="AA264" s="2"/>
      <c r="AB264" s="2"/>
      <c r="AC264" s="2"/>
      <c r="AD264" s="2"/>
      <c r="AE264" s="2"/>
      <c r="AF264" s="2"/>
      <c r="AG264" s="2"/>
      <c r="AH264" s="2"/>
      <c r="AI264" s="2"/>
      <c r="AJ264" s="2"/>
      <c r="AK264" s="2"/>
      <c r="AL264" s="2"/>
      <c r="AM264" s="2"/>
      <c r="AN264" s="2"/>
      <c r="AO264" s="2"/>
      <c r="AP264" s="2"/>
      <c r="AQ264" s="2"/>
      <c r="AR264" s="2"/>
      <c r="AS264" s="2"/>
      <c r="AT264" s="2"/>
      <c r="AU264" s="2"/>
      <c r="AV264" s="2"/>
      <c r="AW264" s="2"/>
      <c r="AX264" s="2"/>
      <c r="AY264" s="2"/>
      <c r="AZ264" s="2"/>
      <c r="BA264" s="2"/>
      <c r="BB264" s="2"/>
      <c r="BC264" s="2"/>
      <c r="BD264" s="2"/>
      <c r="BE264" s="2"/>
      <c r="BF264" s="2"/>
      <c r="BG264" s="2"/>
      <c r="BH264" s="2"/>
      <c r="BI264" s="2"/>
    </row>
    <row r="265" spans="1:61">
      <c r="A265" s="2"/>
      <c r="B265" s="2"/>
      <c r="C265" s="2"/>
      <c r="D265" s="2"/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  <c r="AA265" s="2"/>
      <c r="AB265" s="2"/>
      <c r="AC265" s="2"/>
      <c r="AD265" s="2"/>
      <c r="AE265" s="2"/>
      <c r="AF265" s="2"/>
      <c r="AG265" s="2"/>
      <c r="AH265" s="2"/>
      <c r="AI265" s="2"/>
      <c r="AJ265" s="2"/>
      <c r="AK265" s="2"/>
      <c r="AL265" s="2"/>
      <c r="AM265" s="2"/>
      <c r="AN265" s="2"/>
      <c r="AO265" s="2"/>
      <c r="AP265" s="2"/>
      <c r="AQ265" s="2"/>
      <c r="AR265" s="2"/>
      <c r="AS265" s="2"/>
      <c r="AT265" s="2"/>
      <c r="AU265" s="2"/>
      <c r="AV265" s="2"/>
      <c r="AW265" s="2"/>
      <c r="AX265" s="2"/>
      <c r="AY265" s="2"/>
      <c r="AZ265" s="2"/>
      <c r="BA265" s="2"/>
      <c r="BB265" s="2"/>
      <c r="BC265" s="2"/>
      <c r="BD265" s="2"/>
      <c r="BE265" s="2"/>
      <c r="BF265" s="2"/>
      <c r="BG265" s="2"/>
      <c r="BH265" s="2"/>
      <c r="BI265" s="2"/>
    </row>
    <row r="266" spans="1:61">
      <c r="A266" s="2"/>
      <c r="B266" s="2"/>
      <c r="C266" s="2"/>
      <c r="D266" s="2"/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  <c r="AA266" s="2"/>
      <c r="AB266" s="2"/>
      <c r="AC266" s="2"/>
      <c r="AD266" s="2"/>
      <c r="AE266" s="2"/>
      <c r="AF266" s="2"/>
      <c r="AG266" s="2"/>
      <c r="AH266" s="2"/>
      <c r="AI266" s="2"/>
      <c r="AJ266" s="2"/>
      <c r="AK266" s="2"/>
      <c r="AL266" s="2"/>
      <c r="AM266" s="2"/>
      <c r="AN266" s="2"/>
      <c r="AO266" s="2"/>
      <c r="AP266" s="2"/>
      <c r="AQ266" s="2"/>
      <c r="AR266" s="2"/>
      <c r="AS266" s="2"/>
      <c r="AT266" s="2"/>
      <c r="AU266" s="2"/>
      <c r="AV266" s="2"/>
      <c r="AW266" s="2"/>
      <c r="AX266" s="2"/>
      <c r="AY266" s="2"/>
      <c r="AZ266" s="2"/>
      <c r="BA266" s="2"/>
      <c r="BB266" s="2"/>
      <c r="BC266" s="2"/>
      <c r="BD266" s="2"/>
      <c r="BE266" s="2"/>
      <c r="BF266" s="2"/>
      <c r="BG266" s="2"/>
      <c r="BH266" s="2"/>
      <c r="BI266" s="2"/>
    </row>
    <row r="267" spans="1:61">
      <c r="A267" s="2"/>
      <c r="B267" s="2"/>
      <c r="C267" s="2"/>
      <c r="D267" s="2"/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  <c r="AA267" s="2"/>
      <c r="AB267" s="2"/>
      <c r="AC267" s="2"/>
      <c r="AD267" s="2"/>
      <c r="AE267" s="2"/>
      <c r="AF267" s="2"/>
      <c r="AG267" s="2"/>
      <c r="AH267" s="2"/>
      <c r="AI267" s="2"/>
      <c r="AJ267" s="2"/>
      <c r="AK267" s="2"/>
      <c r="AL267" s="2"/>
      <c r="AM267" s="2"/>
      <c r="AN267" s="2"/>
      <c r="AO267" s="2"/>
      <c r="AP267" s="2"/>
      <c r="AQ267" s="2"/>
      <c r="AR267" s="2"/>
      <c r="AS267" s="2"/>
      <c r="AT267" s="2"/>
      <c r="AU267" s="2"/>
      <c r="AV267" s="2"/>
      <c r="AW267" s="2"/>
      <c r="AX267" s="2"/>
      <c r="AY267" s="2"/>
      <c r="AZ267" s="2"/>
      <c r="BA267" s="2"/>
      <c r="BB267" s="2"/>
      <c r="BC267" s="2"/>
      <c r="BD267" s="2"/>
      <c r="BE267" s="2"/>
      <c r="BF267" s="2"/>
      <c r="BG267" s="2"/>
      <c r="BH267" s="2"/>
      <c r="BI267" s="2"/>
    </row>
    <row r="268" spans="1:61">
      <c r="A268" s="2"/>
      <c r="B268" s="2"/>
      <c r="C268" s="2"/>
      <c r="D268" s="2"/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  <c r="AA268" s="2"/>
      <c r="AB268" s="2"/>
      <c r="AC268" s="2"/>
      <c r="AD268" s="2"/>
      <c r="AE268" s="2"/>
      <c r="AF268" s="2"/>
      <c r="AG268" s="2"/>
      <c r="AH268" s="2"/>
      <c r="AI268" s="2"/>
      <c r="AJ268" s="2"/>
      <c r="AK268" s="2"/>
      <c r="AL268" s="2"/>
      <c r="AM268" s="2"/>
      <c r="AN268" s="2"/>
      <c r="AO268" s="2"/>
      <c r="AP268" s="2"/>
      <c r="AQ268" s="2"/>
      <c r="AR268" s="2"/>
      <c r="AS268" s="2"/>
      <c r="AT268" s="2"/>
      <c r="AU268" s="2"/>
      <c r="AV268" s="2"/>
      <c r="AW268" s="2"/>
      <c r="AX268" s="2"/>
      <c r="AY268" s="2"/>
      <c r="AZ268" s="2"/>
      <c r="BA268" s="2"/>
      <c r="BB268" s="2"/>
      <c r="BC268" s="2"/>
      <c r="BD268" s="2"/>
      <c r="BE268" s="2"/>
      <c r="BF268" s="2"/>
      <c r="BG268" s="2"/>
      <c r="BH268" s="2"/>
      <c r="BI268" s="2"/>
    </row>
    <row r="269" spans="1:61">
      <c r="A269" s="2"/>
      <c r="B269" s="2"/>
      <c r="C269" s="2"/>
      <c r="D269" s="2"/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  <c r="AA269" s="2"/>
      <c r="AB269" s="2"/>
      <c r="AC269" s="2"/>
      <c r="AD269" s="2"/>
      <c r="AE269" s="2"/>
      <c r="AF269" s="2"/>
      <c r="AG269" s="2"/>
      <c r="AH269" s="2"/>
      <c r="AI269" s="2"/>
      <c r="AJ269" s="2"/>
      <c r="AK269" s="2"/>
      <c r="AL269" s="2"/>
      <c r="AM269" s="2"/>
      <c r="AN269" s="2"/>
      <c r="AO269" s="2"/>
      <c r="AP269" s="2"/>
      <c r="AQ269" s="2"/>
      <c r="AR269" s="2"/>
      <c r="AS269" s="2"/>
      <c r="AT269" s="2"/>
      <c r="AU269" s="2"/>
      <c r="AV269" s="2"/>
      <c r="AW269" s="2"/>
      <c r="AX269" s="2"/>
      <c r="AY269" s="2"/>
      <c r="AZ269" s="2"/>
      <c r="BA269" s="2"/>
      <c r="BB269" s="2"/>
      <c r="BC269" s="2"/>
      <c r="BD269" s="2"/>
      <c r="BE269" s="2"/>
      <c r="BF269" s="2"/>
      <c r="BG269" s="2"/>
      <c r="BH269" s="2"/>
      <c r="BI269" s="2"/>
    </row>
    <row r="270" spans="1:61">
      <c r="A270" s="2"/>
      <c r="B270" s="2"/>
      <c r="C270" s="2"/>
      <c r="D270" s="2"/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  <c r="AA270" s="2"/>
      <c r="AB270" s="2"/>
      <c r="AC270" s="2"/>
      <c r="AD270" s="2"/>
      <c r="AE270" s="2"/>
      <c r="AF270" s="2"/>
      <c r="AG270" s="2"/>
      <c r="AH270" s="2"/>
      <c r="AI270" s="2"/>
      <c r="AJ270" s="2"/>
      <c r="AK270" s="2"/>
      <c r="AL270" s="2"/>
      <c r="AM270" s="2"/>
      <c r="AN270" s="2"/>
      <c r="AO270" s="2"/>
      <c r="AP270" s="2"/>
      <c r="AQ270" s="2"/>
      <c r="AR270" s="2"/>
      <c r="AS270" s="2"/>
      <c r="AT270" s="2"/>
      <c r="AU270" s="2"/>
      <c r="AV270" s="2"/>
      <c r="AW270" s="2"/>
      <c r="AX270" s="2"/>
      <c r="AY270" s="2"/>
      <c r="AZ270" s="2"/>
      <c r="BA270" s="2"/>
      <c r="BB270" s="2"/>
      <c r="BC270" s="2"/>
      <c r="BD270" s="2"/>
      <c r="BE270" s="2"/>
      <c r="BF270" s="2"/>
      <c r="BG270" s="2"/>
      <c r="BH270" s="2"/>
      <c r="BI270" s="2"/>
    </row>
    <row r="271" spans="1:61">
      <c r="A271" s="2"/>
      <c r="B271" s="2"/>
      <c r="C271" s="2"/>
      <c r="D271" s="2"/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  <c r="AA271" s="2"/>
      <c r="AB271" s="2"/>
      <c r="AC271" s="2"/>
      <c r="AD271" s="2"/>
      <c r="AE271" s="2"/>
      <c r="AF271" s="2"/>
      <c r="AG271" s="2"/>
      <c r="AH271" s="2"/>
      <c r="AI271" s="2"/>
      <c r="AJ271" s="2"/>
      <c r="AK271" s="2"/>
      <c r="AL271" s="2"/>
      <c r="AM271" s="2"/>
      <c r="AN271" s="2"/>
      <c r="AO271" s="2"/>
      <c r="AP271" s="2"/>
      <c r="AQ271" s="2"/>
      <c r="AR271" s="2"/>
      <c r="AS271" s="2"/>
      <c r="AT271" s="2"/>
      <c r="AU271" s="2"/>
      <c r="AV271" s="2"/>
      <c r="AW271" s="2"/>
      <c r="AX271" s="2"/>
      <c r="AY271" s="2"/>
      <c r="AZ271" s="2"/>
      <c r="BA271" s="2"/>
      <c r="BB271" s="2"/>
      <c r="BC271" s="2"/>
      <c r="BD271" s="2"/>
      <c r="BE271" s="2"/>
      <c r="BF271" s="2"/>
      <c r="BG271" s="2"/>
      <c r="BH271" s="2"/>
      <c r="BI271" s="2"/>
    </row>
    <row r="272" spans="1:61">
      <c r="A272" s="2"/>
      <c r="B272" s="2"/>
      <c r="C272" s="2"/>
      <c r="D272" s="2"/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  <c r="AA272" s="2"/>
      <c r="AB272" s="2"/>
      <c r="AC272" s="2"/>
      <c r="AD272" s="2"/>
      <c r="AE272" s="2"/>
      <c r="AF272" s="2"/>
      <c r="AG272" s="2"/>
      <c r="AH272" s="2"/>
      <c r="AI272" s="2"/>
      <c r="AJ272" s="2"/>
      <c r="AK272" s="2"/>
      <c r="AL272" s="2"/>
      <c r="AM272" s="2"/>
      <c r="AN272" s="2"/>
      <c r="AO272" s="2"/>
      <c r="AP272" s="2"/>
      <c r="AQ272" s="2"/>
      <c r="AR272" s="2"/>
      <c r="AS272" s="2"/>
      <c r="AT272" s="2"/>
      <c r="AU272" s="2"/>
      <c r="AV272" s="2"/>
      <c r="AW272" s="2"/>
      <c r="AX272" s="2"/>
      <c r="AY272" s="2"/>
      <c r="AZ272" s="2"/>
      <c r="BA272" s="2"/>
      <c r="BB272" s="2"/>
      <c r="BC272" s="2"/>
      <c r="BD272" s="2"/>
      <c r="BE272" s="2"/>
      <c r="BF272" s="2"/>
      <c r="BG272" s="2"/>
      <c r="BH272" s="2"/>
      <c r="BI272" s="2"/>
    </row>
    <row r="273" spans="1:61">
      <c r="A273" s="2"/>
      <c r="B273" s="2"/>
      <c r="C273" s="2"/>
      <c r="D273" s="2"/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  <c r="AA273" s="2"/>
      <c r="AB273" s="2"/>
      <c r="AC273" s="2"/>
      <c r="AD273" s="2"/>
      <c r="AE273" s="2"/>
      <c r="AF273" s="2"/>
      <c r="AG273" s="2"/>
      <c r="AH273" s="2"/>
      <c r="AI273" s="2"/>
      <c r="AJ273" s="2"/>
      <c r="AK273" s="2"/>
      <c r="AL273" s="2"/>
      <c r="AM273" s="2"/>
      <c r="AN273" s="2"/>
      <c r="AO273" s="2"/>
      <c r="AP273" s="2"/>
      <c r="AQ273" s="2"/>
      <c r="AR273" s="2"/>
      <c r="AS273" s="2"/>
      <c r="AT273" s="2"/>
      <c r="AU273" s="2"/>
      <c r="AV273" s="2"/>
      <c r="AW273" s="2"/>
      <c r="AX273" s="2"/>
      <c r="AY273" s="2"/>
      <c r="AZ273" s="2"/>
      <c r="BA273" s="2"/>
      <c r="BB273" s="2"/>
      <c r="BC273" s="2"/>
      <c r="BD273" s="2"/>
      <c r="BE273" s="2"/>
      <c r="BF273" s="2"/>
      <c r="BG273" s="2"/>
      <c r="BH273" s="2"/>
      <c r="BI273" s="2"/>
    </row>
    <row r="274" spans="1:61">
      <c r="A274" s="2"/>
      <c r="B274" s="2"/>
      <c r="C274" s="2"/>
      <c r="D274" s="2"/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  <c r="AA274" s="2"/>
      <c r="AB274" s="2"/>
      <c r="AC274" s="2"/>
      <c r="AD274" s="2"/>
      <c r="AE274" s="2"/>
      <c r="AF274" s="2"/>
      <c r="AG274" s="2"/>
      <c r="AH274" s="2"/>
      <c r="AI274" s="2"/>
      <c r="AJ274" s="2"/>
      <c r="AK274" s="2"/>
      <c r="AL274" s="2"/>
      <c r="AM274" s="2"/>
      <c r="AN274" s="2"/>
      <c r="AO274" s="2"/>
      <c r="AP274" s="2"/>
      <c r="AQ274" s="2"/>
      <c r="AR274" s="2"/>
      <c r="AS274" s="2"/>
      <c r="AT274" s="2"/>
      <c r="AU274" s="2"/>
      <c r="AV274" s="2"/>
      <c r="AW274" s="2"/>
      <c r="AX274" s="2"/>
      <c r="AY274" s="2"/>
      <c r="AZ274" s="2"/>
      <c r="BA274" s="2"/>
      <c r="BB274" s="2"/>
      <c r="BC274" s="2"/>
      <c r="BD274" s="2"/>
      <c r="BE274" s="2"/>
      <c r="BF274" s="2"/>
      <c r="BG274" s="2"/>
      <c r="BH274" s="2"/>
      <c r="BI274" s="2"/>
    </row>
    <row r="275" spans="1:61">
      <c r="A275" s="2"/>
      <c r="B275" s="2"/>
      <c r="C275" s="2"/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  <c r="AA275" s="2"/>
      <c r="AB275" s="2"/>
      <c r="AC275" s="2"/>
      <c r="AD275" s="2"/>
      <c r="AE275" s="2"/>
      <c r="AF275" s="2"/>
      <c r="AG275" s="2"/>
      <c r="AH275" s="2"/>
      <c r="AI275" s="2"/>
      <c r="AJ275" s="2"/>
      <c r="AK275" s="2"/>
      <c r="AL275" s="2"/>
      <c r="AM275" s="2"/>
      <c r="AN275" s="2"/>
      <c r="AO275" s="2"/>
      <c r="AP275" s="2"/>
      <c r="AQ275" s="2"/>
      <c r="AR275" s="2"/>
      <c r="AS275" s="2"/>
      <c r="AT275" s="2"/>
      <c r="AU275" s="2"/>
      <c r="AV275" s="2"/>
      <c r="AW275" s="2"/>
      <c r="AX275" s="2"/>
      <c r="AY275" s="2"/>
      <c r="AZ275" s="2"/>
      <c r="BA275" s="2"/>
      <c r="BB275" s="2"/>
      <c r="BC275" s="2"/>
      <c r="BD275" s="2"/>
      <c r="BE275" s="2"/>
      <c r="BF275" s="2"/>
      <c r="BG275" s="2"/>
      <c r="BH275" s="2"/>
      <c r="BI275" s="2"/>
    </row>
    <row r="276" spans="1:61">
      <c r="A276" s="2"/>
      <c r="B276" s="2"/>
      <c r="C276" s="2"/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  <c r="AA276" s="2"/>
      <c r="AB276" s="2"/>
      <c r="AC276" s="2"/>
      <c r="AD276" s="2"/>
      <c r="AE276" s="2"/>
      <c r="AF276" s="2"/>
      <c r="AG276" s="2"/>
      <c r="AH276" s="2"/>
      <c r="AI276" s="2"/>
      <c r="AJ276" s="2"/>
      <c r="AK276" s="2"/>
      <c r="AL276" s="2"/>
      <c r="AM276" s="2"/>
      <c r="AN276" s="2"/>
      <c r="AO276" s="2"/>
      <c r="AP276" s="2"/>
      <c r="AQ276" s="2"/>
      <c r="AR276" s="2"/>
      <c r="AS276" s="2"/>
      <c r="AT276" s="2"/>
      <c r="AU276" s="2"/>
      <c r="AV276" s="2"/>
      <c r="AW276" s="2"/>
      <c r="AX276" s="2"/>
      <c r="AY276" s="2"/>
      <c r="AZ276" s="2"/>
      <c r="BA276" s="2"/>
      <c r="BB276" s="2"/>
      <c r="BC276" s="2"/>
      <c r="BD276" s="2"/>
      <c r="BE276" s="2"/>
      <c r="BF276" s="2"/>
      <c r="BG276" s="2"/>
      <c r="BH276" s="2"/>
      <c r="BI276" s="2"/>
    </row>
    <row r="277" spans="1:61">
      <c r="A277" s="2"/>
      <c r="B277" s="2"/>
      <c r="C277" s="2"/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/>
      <c r="P277" s="2"/>
      <c r="Q277" s="2"/>
      <c r="R277" s="2"/>
      <c r="S277" s="2"/>
      <c r="T277" s="2"/>
      <c r="U277" s="2"/>
      <c r="V277" s="2"/>
      <c r="W277" s="2"/>
      <c r="X277" s="2"/>
      <c r="Y277" s="2"/>
      <c r="Z277" s="2"/>
      <c r="AA277" s="2"/>
      <c r="AB277" s="2"/>
      <c r="AC277" s="2"/>
      <c r="AD277" s="2"/>
      <c r="AE277" s="2"/>
      <c r="AF277" s="2"/>
      <c r="AG277" s="2"/>
      <c r="AH277" s="2"/>
      <c r="AI277" s="2"/>
      <c r="AJ277" s="2"/>
      <c r="AK277" s="2"/>
      <c r="AL277" s="2"/>
      <c r="AM277" s="2"/>
      <c r="AN277" s="2"/>
      <c r="AO277" s="2"/>
      <c r="AP277" s="2"/>
      <c r="AQ277" s="2"/>
      <c r="AR277" s="2"/>
      <c r="AS277" s="2"/>
      <c r="AT277" s="2"/>
      <c r="AU277" s="2"/>
      <c r="AV277" s="2"/>
      <c r="AW277" s="2"/>
      <c r="AX277" s="2"/>
      <c r="AY277" s="2"/>
      <c r="AZ277" s="2"/>
      <c r="BA277" s="2"/>
      <c r="BB277" s="2"/>
      <c r="BC277" s="2"/>
      <c r="BD277" s="2"/>
      <c r="BE277" s="2"/>
      <c r="BF277" s="2"/>
      <c r="BG277" s="2"/>
      <c r="BH277" s="2"/>
      <c r="BI277" s="2"/>
    </row>
    <row r="278" spans="1:61">
      <c r="A278" s="2"/>
      <c r="B278" s="2"/>
      <c r="C278" s="2"/>
      <c r="D278" s="2"/>
      <c r="E278" s="2"/>
      <c r="F278" s="2"/>
      <c r="G278" s="2"/>
      <c r="H278" s="2"/>
      <c r="I278" s="2"/>
      <c r="J278" s="2"/>
      <c r="K278" s="2"/>
      <c r="L278" s="2"/>
      <c r="M278" s="2"/>
      <c r="N278" s="2"/>
      <c r="O278" s="2"/>
      <c r="P278" s="2"/>
      <c r="Q278" s="2"/>
      <c r="R278" s="2"/>
      <c r="S278" s="2"/>
      <c r="T278" s="2"/>
      <c r="U278" s="2"/>
      <c r="V278" s="2"/>
      <c r="W278" s="2"/>
      <c r="X278" s="2"/>
      <c r="Y278" s="2"/>
      <c r="Z278" s="2"/>
      <c r="AA278" s="2"/>
      <c r="AB278" s="2"/>
      <c r="AC278" s="2"/>
      <c r="AD278" s="2"/>
      <c r="AE278" s="2"/>
      <c r="AF278" s="2"/>
      <c r="AG278" s="2"/>
      <c r="AH278" s="2"/>
      <c r="AI278" s="2"/>
      <c r="AJ278" s="2"/>
      <c r="AK278" s="2"/>
      <c r="AL278" s="2"/>
      <c r="AM278" s="2"/>
      <c r="AN278" s="2"/>
      <c r="AO278" s="2"/>
      <c r="AP278" s="2"/>
      <c r="AQ278" s="2"/>
      <c r="AR278" s="2"/>
      <c r="AS278" s="2"/>
      <c r="AT278" s="2"/>
      <c r="AU278" s="2"/>
      <c r="AV278" s="2"/>
      <c r="AW278" s="2"/>
      <c r="AX278" s="2"/>
      <c r="AY278" s="2"/>
      <c r="AZ278" s="2"/>
      <c r="BA278" s="2"/>
      <c r="BB278" s="2"/>
      <c r="BC278" s="2"/>
      <c r="BD278" s="2"/>
      <c r="BE278" s="2"/>
      <c r="BF278" s="2"/>
      <c r="BG278" s="2"/>
      <c r="BH278" s="2"/>
      <c r="BI278" s="2"/>
    </row>
    <row r="279" spans="1:61">
      <c r="A279" s="2"/>
      <c r="B279" s="2"/>
      <c r="C279" s="2"/>
      <c r="D279" s="2"/>
      <c r="E279" s="2"/>
      <c r="F279" s="2"/>
      <c r="G279" s="2"/>
      <c r="H279" s="2"/>
      <c r="I279" s="2"/>
      <c r="J279" s="2"/>
      <c r="K279" s="2"/>
      <c r="L279" s="2"/>
      <c r="M279" s="2"/>
      <c r="N279" s="2"/>
      <c r="O279" s="2"/>
      <c r="P279" s="2"/>
      <c r="Q279" s="2"/>
      <c r="R279" s="2"/>
      <c r="S279" s="2"/>
      <c r="T279" s="2"/>
      <c r="U279" s="2"/>
      <c r="V279" s="2"/>
      <c r="W279" s="2"/>
      <c r="X279" s="2"/>
      <c r="Y279" s="2"/>
      <c r="Z279" s="2"/>
      <c r="AA279" s="2"/>
      <c r="AB279" s="2"/>
      <c r="AC279" s="2"/>
      <c r="AD279" s="2"/>
      <c r="AE279" s="2"/>
      <c r="AF279" s="2"/>
      <c r="AG279" s="2"/>
      <c r="AH279" s="2"/>
      <c r="AI279" s="2"/>
      <c r="AJ279" s="2"/>
      <c r="AK279" s="2"/>
      <c r="AL279" s="2"/>
      <c r="AM279" s="2"/>
      <c r="AN279" s="2"/>
      <c r="AO279" s="2"/>
      <c r="AP279" s="2"/>
      <c r="AQ279" s="2"/>
      <c r="AR279" s="2"/>
      <c r="AS279" s="2"/>
      <c r="AT279" s="2"/>
      <c r="AU279" s="2"/>
      <c r="AV279" s="2"/>
      <c r="AW279" s="2"/>
      <c r="AX279" s="2"/>
      <c r="AY279" s="2"/>
      <c r="AZ279" s="2"/>
      <c r="BA279" s="2"/>
      <c r="BB279" s="2"/>
      <c r="BC279" s="2"/>
      <c r="BD279" s="2"/>
      <c r="BE279" s="2"/>
      <c r="BF279" s="2"/>
      <c r="BG279" s="2"/>
      <c r="BH279" s="2"/>
      <c r="BI279" s="2"/>
    </row>
    <row r="280" spans="1:61">
      <c r="A280" s="2"/>
      <c r="B280" s="2"/>
      <c r="C280" s="2"/>
      <c r="D280" s="2"/>
      <c r="E280" s="2"/>
      <c r="F280" s="2"/>
      <c r="G280" s="2"/>
      <c r="H280" s="2"/>
      <c r="I280" s="2"/>
      <c r="J280" s="2"/>
      <c r="K280" s="2"/>
      <c r="L280" s="2"/>
      <c r="M280" s="2"/>
      <c r="N280" s="2"/>
      <c r="O280" s="2"/>
      <c r="P280" s="2"/>
      <c r="Q280" s="2"/>
      <c r="R280" s="2"/>
      <c r="S280" s="2"/>
      <c r="T280" s="2"/>
      <c r="U280" s="2"/>
      <c r="V280" s="2"/>
      <c r="W280" s="2"/>
      <c r="X280" s="2"/>
      <c r="Y280" s="2"/>
      <c r="Z280" s="2"/>
      <c r="AA280" s="2"/>
      <c r="AB280" s="2"/>
      <c r="AC280" s="2"/>
      <c r="AD280" s="2"/>
      <c r="AE280" s="2"/>
      <c r="AF280" s="2"/>
      <c r="AG280" s="2"/>
      <c r="AH280" s="2"/>
      <c r="AI280" s="2"/>
      <c r="AJ280" s="2"/>
      <c r="AK280" s="2"/>
      <c r="AL280" s="2"/>
      <c r="AM280" s="2"/>
      <c r="AN280" s="2"/>
      <c r="AO280" s="2"/>
      <c r="AP280" s="2"/>
      <c r="AQ280" s="2"/>
      <c r="AR280" s="2"/>
      <c r="AS280" s="2"/>
      <c r="AT280" s="2"/>
      <c r="AU280" s="2"/>
      <c r="AV280" s="2"/>
      <c r="AW280" s="2"/>
      <c r="AX280" s="2"/>
      <c r="AY280" s="2"/>
      <c r="AZ280" s="2"/>
      <c r="BA280" s="2"/>
      <c r="BB280" s="2"/>
      <c r="BC280" s="2"/>
      <c r="BD280" s="2"/>
      <c r="BE280" s="2"/>
      <c r="BF280" s="2"/>
      <c r="BG280" s="2"/>
      <c r="BH280" s="2"/>
      <c r="BI280" s="2"/>
    </row>
    <row r="281" spans="1:61">
      <c r="A281" s="2"/>
      <c r="B281" s="2"/>
      <c r="C281" s="2"/>
      <c r="D281" s="2"/>
      <c r="E281" s="2"/>
      <c r="F281" s="2"/>
      <c r="G281" s="2"/>
      <c r="H281" s="2"/>
      <c r="I281" s="2"/>
      <c r="J281" s="2"/>
      <c r="K281" s="2"/>
      <c r="L281" s="2"/>
      <c r="M281" s="2"/>
      <c r="N281" s="2"/>
      <c r="O281" s="2"/>
      <c r="P281" s="2"/>
      <c r="Q281" s="2"/>
      <c r="R281" s="2"/>
      <c r="S281" s="2"/>
      <c r="T281" s="2"/>
      <c r="U281" s="2"/>
      <c r="V281" s="2"/>
      <c r="W281" s="2"/>
      <c r="X281" s="2"/>
      <c r="Y281" s="2"/>
      <c r="Z281" s="2"/>
      <c r="AA281" s="2"/>
      <c r="AB281" s="2"/>
      <c r="AC281" s="2"/>
      <c r="AD281" s="2"/>
      <c r="AE281" s="2"/>
      <c r="AF281" s="2"/>
      <c r="AG281" s="2"/>
      <c r="AH281" s="2"/>
      <c r="AI281" s="2"/>
      <c r="AJ281" s="2"/>
      <c r="AK281" s="2"/>
      <c r="AL281" s="2"/>
      <c r="AM281" s="2"/>
      <c r="AN281" s="2"/>
      <c r="AO281" s="2"/>
      <c r="AP281" s="2"/>
      <c r="AQ281" s="2"/>
      <c r="AR281" s="2"/>
      <c r="AS281" s="2"/>
      <c r="AT281" s="2"/>
      <c r="AU281" s="2"/>
      <c r="AV281" s="2"/>
      <c r="AW281" s="2"/>
      <c r="AX281" s="2"/>
      <c r="AY281" s="2"/>
      <c r="AZ281" s="2"/>
      <c r="BA281" s="2"/>
      <c r="BB281" s="2"/>
      <c r="BC281" s="2"/>
      <c r="BD281" s="2"/>
      <c r="BE281" s="2"/>
      <c r="BF281" s="2"/>
      <c r="BG281" s="2"/>
      <c r="BH281" s="2"/>
      <c r="BI281" s="2"/>
    </row>
    <row r="282" spans="1:61">
      <c r="A282" s="2"/>
      <c r="B282" s="2"/>
      <c r="C282" s="2"/>
      <c r="D282" s="2"/>
      <c r="E282" s="2"/>
      <c r="F282" s="2"/>
      <c r="G282" s="2"/>
      <c r="H282" s="2"/>
      <c r="I282" s="2"/>
      <c r="J282" s="2"/>
      <c r="K282" s="2"/>
      <c r="L282" s="2"/>
      <c r="M282" s="2"/>
      <c r="N282" s="2"/>
      <c r="O282" s="2"/>
      <c r="P282" s="2"/>
      <c r="Q282" s="2"/>
      <c r="R282" s="2"/>
      <c r="S282" s="2"/>
      <c r="T282" s="2"/>
      <c r="U282" s="2"/>
      <c r="V282" s="2"/>
      <c r="W282" s="2"/>
      <c r="X282" s="2"/>
      <c r="Y282" s="2"/>
      <c r="Z282" s="2"/>
      <c r="AA282" s="2"/>
      <c r="AB282" s="2"/>
      <c r="AC282" s="2"/>
      <c r="AD282" s="2"/>
      <c r="AE282" s="2"/>
      <c r="AF282" s="2"/>
      <c r="AG282" s="2"/>
      <c r="AH282" s="2"/>
      <c r="AI282" s="2"/>
      <c r="AJ282" s="2"/>
      <c r="AK282" s="2"/>
      <c r="AL282" s="2"/>
      <c r="AM282" s="2"/>
      <c r="AN282" s="2"/>
      <c r="AO282" s="2"/>
      <c r="AP282" s="2"/>
      <c r="AQ282" s="2"/>
      <c r="AR282" s="2"/>
      <c r="AS282" s="2"/>
      <c r="AT282" s="2"/>
      <c r="AU282" s="2"/>
      <c r="AV282" s="2"/>
      <c r="AW282" s="2"/>
      <c r="AX282" s="2"/>
      <c r="AY282" s="2"/>
      <c r="AZ282" s="2"/>
      <c r="BA282" s="2"/>
      <c r="BB282" s="2"/>
      <c r="BC282" s="2"/>
      <c r="BD282" s="2"/>
      <c r="BE282" s="2"/>
      <c r="BF282" s="2"/>
      <c r="BG282" s="2"/>
      <c r="BH282" s="2"/>
      <c r="BI282" s="2"/>
    </row>
    <row r="283" spans="1:61">
      <c r="A283" s="2"/>
      <c r="B283" s="2"/>
      <c r="C283" s="2"/>
      <c r="D283" s="2"/>
      <c r="E283" s="2"/>
      <c r="F283" s="2"/>
      <c r="G283" s="2"/>
      <c r="H283" s="2"/>
      <c r="I283" s="2"/>
      <c r="J283" s="2"/>
      <c r="K283" s="2"/>
      <c r="L283" s="2"/>
      <c r="M283" s="2"/>
      <c r="N283" s="2"/>
      <c r="O283" s="2"/>
      <c r="P283" s="2"/>
      <c r="Q283" s="2"/>
      <c r="R283" s="2"/>
      <c r="S283" s="2"/>
      <c r="T283" s="2"/>
      <c r="U283" s="2"/>
      <c r="V283" s="2"/>
      <c r="W283" s="2"/>
      <c r="X283" s="2"/>
      <c r="Y283" s="2"/>
      <c r="Z283" s="2"/>
      <c r="AA283" s="2"/>
      <c r="AB283" s="2"/>
      <c r="AC283" s="2"/>
      <c r="AD283" s="2"/>
      <c r="AE283" s="2"/>
      <c r="AF283" s="2"/>
      <c r="AG283" s="2"/>
      <c r="AH283" s="2"/>
      <c r="AI283" s="2"/>
      <c r="AJ283" s="2"/>
      <c r="AK283" s="2"/>
      <c r="AL283" s="2"/>
      <c r="AM283" s="2"/>
      <c r="AN283" s="2"/>
      <c r="AO283" s="2"/>
      <c r="AP283" s="2"/>
      <c r="AQ283" s="2"/>
      <c r="AR283" s="2"/>
      <c r="AS283" s="2"/>
      <c r="AT283" s="2"/>
      <c r="AU283" s="2"/>
      <c r="AV283" s="2"/>
      <c r="AW283" s="2"/>
      <c r="AX283" s="2"/>
      <c r="AY283" s="2"/>
      <c r="AZ283" s="2"/>
      <c r="BA283" s="2"/>
      <c r="BB283" s="2"/>
      <c r="BC283" s="2"/>
      <c r="BD283" s="2"/>
      <c r="BE283" s="2"/>
      <c r="BF283" s="2"/>
      <c r="BG283" s="2"/>
      <c r="BH283" s="2"/>
      <c r="BI283" s="2"/>
    </row>
    <row r="284" spans="1:61">
      <c r="A284" s="2"/>
      <c r="B284" s="2"/>
      <c r="C284" s="2"/>
      <c r="D284" s="2"/>
      <c r="E284" s="2"/>
      <c r="F284" s="2"/>
      <c r="G284" s="2"/>
      <c r="H284" s="2"/>
      <c r="I284" s="2"/>
      <c r="J284" s="2"/>
      <c r="K284" s="2"/>
      <c r="L284" s="2"/>
      <c r="M284" s="2"/>
      <c r="N284" s="2"/>
      <c r="O284" s="2"/>
      <c r="P284" s="2"/>
      <c r="Q284" s="2"/>
      <c r="R284" s="2"/>
      <c r="S284" s="2"/>
      <c r="T284" s="2"/>
      <c r="U284" s="2"/>
      <c r="V284" s="2"/>
      <c r="W284" s="2"/>
      <c r="X284" s="2"/>
      <c r="Y284" s="2"/>
      <c r="Z284" s="2"/>
      <c r="AA284" s="2"/>
      <c r="AB284" s="2"/>
      <c r="AC284" s="2"/>
      <c r="AD284" s="2"/>
      <c r="AE284" s="2"/>
      <c r="AF284" s="2"/>
      <c r="AG284" s="2"/>
      <c r="AH284" s="2"/>
      <c r="AI284" s="2"/>
      <c r="AJ284" s="2"/>
      <c r="AK284" s="2"/>
      <c r="AL284" s="2"/>
      <c r="AM284" s="2"/>
      <c r="AN284" s="2"/>
      <c r="AO284" s="2"/>
      <c r="AP284" s="2"/>
      <c r="AQ284" s="2"/>
      <c r="AR284" s="2"/>
      <c r="AS284" s="2"/>
      <c r="AT284" s="2"/>
      <c r="AU284" s="2"/>
      <c r="AV284" s="2"/>
      <c r="AW284" s="2"/>
      <c r="AX284" s="2"/>
      <c r="AY284" s="2"/>
      <c r="AZ284" s="2"/>
      <c r="BA284" s="2"/>
      <c r="BB284" s="2"/>
      <c r="BC284" s="2"/>
      <c r="BD284" s="2"/>
      <c r="BE284" s="2"/>
      <c r="BF284" s="2"/>
      <c r="BG284" s="2"/>
      <c r="BH284" s="2"/>
      <c r="BI284" s="2"/>
    </row>
    <row r="285" spans="1:61">
      <c r="A285" s="2"/>
      <c r="B285" s="2"/>
      <c r="C285" s="2"/>
      <c r="D285" s="2"/>
      <c r="E285" s="2"/>
      <c r="F285" s="2"/>
      <c r="G285" s="2"/>
      <c r="H285" s="2"/>
      <c r="I285" s="2"/>
      <c r="J285" s="2"/>
      <c r="K285" s="2"/>
      <c r="L285" s="2"/>
      <c r="M285" s="2"/>
      <c r="N285" s="2"/>
      <c r="O285" s="2"/>
      <c r="P285" s="2"/>
      <c r="Q285" s="2"/>
      <c r="R285" s="2"/>
      <c r="S285" s="2"/>
      <c r="T285" s="2"/>
      <c r="U285" s="2"/>
      <c r="V285" s="2"/>
      <c r="W285" s="2"/>
      <c r="X285" s="2"/>
      <c r="Y285" s="2"/>
      <c r="Z285" s="2"/>
      <c r="AA285" s="2"/>
      <c r="AB285" s="2"/>
      <c r="AC285" s="2"/>
      <c r="AD285" s="2"/>
      <c r="AE285" s="2"/>
      <c r="AF285" s="2"/>
      <c r="AG285" s="2"/>
      <c r="AH285" s="2"/>
      <c r="AI285" s="2"/>
      <c r="AJ285" s="2"/>
      <c r="AK285" s="2"/>
      <c r="AL285" s="2"/>
      <c r="AM285" s="2"/>
      <c r="AN285" s="2"/>
      <c r="AO285" s="2"/>
      <c r="AP285" s="2"/>
      <c r="AQ285" s="2"/>
      <c r="AR285" s="2"/>
      <c r="AS285" s="2"/>
      <c r="AT285" s="2"/>
      <c r="AU285" s="2"/>
      <c r="AV285" s="2"/>
      <c r="AW285" s="2"/>
      <c r="AX285" s="2"/>
      <c r="AY285" s="2"/>
      <c r="AZ285" s="2"/>
      <c r="BA285" s="2"/>
      <c r="BB285" s="2"/>
      <c r="BC285" s="2"/>
      <c r="BD285" s="2"/>
      <c r="BE285" s="2"/>
      <c r="BF285" s="2"/>
      <c r="BG285" s="2"/>
      <c r="BH285" s="2"/>
      <c r="BI285" s="2"/>
    </row>
    <row r="286" spans="1:61">
      <c r="A286" s="2"/>
      <c r="B286" s="2"/>
      <c r="C286" s="2"/>
      <c r="D286" s="2"/>
      <c r="E286" s="2"/>
      <c r="F286" s="2"/>
      <c r="G286" s="2"/>
      <c r="H286" s="2"/>
      <c r="I286" s="2"/>
      <c r="J286" s="2"/>
      <c r="K286" s="2"/>
      <c r="L286" s="2"/>
      <c r="M286" s="2"/>
      <c r="N286" s="2"/>
      <c r="O286" s="2"/>
      <c r="P286" s="2"/>
      <c r="Q286" s="2"/>
      <c r="R286" s="2"/>
      <c r="S286" s="2"/>
      <c r="T286" s="2"/>
      <c r="U286" s="2"/>
      <c r="V286" s="2"/>
      <c r="W286" s="2"/>
      <c r="X286" s="2"/>
      <c r="Y286" s="2"/>
      <c r="Z286" s="2"/>
      <c r="AA286" s="2"/>
      <c r="AB286" s="2"/>
      <c r="AC286" s="2"/>
      <c r="AD286" s="2"/>
      <c r="AE286" s="2"/>
      <c r="AF286" s="2"/>
      <c r="AG286" s="2"/>
      <c r="AH286" s="2"/>
      <c r="AI286" s="2"/>
      <c r="AJ286" s="2"/>
      <c r="AK286" s="2"/>
      <c r="AL286" s="2"/>
      <c r="AM286" s="2"/>
      <c r="AN286" s="2"/>
      <c r="AO286" s="2"/>
      <c r="AP286" s="2"/>
      <c r="AQ286" s="2"/>
      <c r="AR286" s="2"/>
      <c r="AS286" s="2"/>
      <c r="AT286" s="2"/>
      <c r="AU286" s="2"/>
      <c r="AV286" s="2"/>
      <c r="AW286" s="2"/>
      <c r="AX286" s="2"/>
      <c r="AY286" s="2"/>
      <c r="AZ286" s="2"/>
      <c r="BA286" s="2"/>
      <c r="BB286" s="2"/>
      <c r="BC286" s="2"/>
      <c r="BD286" s="2"/>
      <c r="BE286" s="2"/>
      <c r="BF286" s="2"/>
      <c r="BG286" s="2"/>
      <c r="BH286" s="2"/>
      <c r="BI286" s="2"/>
    </row>
    <row r="287" spans="1:61">
      <c r="A287" s="2"/>
      <c r="B287" s="2"/>
      <c r="C287" s="2"/>
      <c r="D287" s="2"/>
      <c r="E287" s="2"/>
      <c r="F287" s="2"/>
      <c r="G287" s="2"/>
      <c r="H287" s="2"/>
      <c r="I287" s="2"/>
      <c r="J287" s="2"/>
      <c r="K287" s="2"/>
      <c r="L287" s="2"/>
      <c r="M287" s="2"/>
      <c r="N287" s="2"/>
      <c r="O287" s="2"/>
      <c r="P287" s="2"/>
      <c r="Q287" s="2"/>
      <c r="R287" s="2"/>
      <c r="S287" s="2"/>
      <c r="T287" s="2"/>
      <c r="U287" s="2"/>
      <c r="V287" s="2"/>
      <c r="W287" s="2"/>
      <c r="X287" s="2"/>
      <c r="Y287" s="2"/>
      <c r="Z287" s="2"/>
      <c r="AA287" s="2"/>
      <c r="AB287" s="2"/>
      <c r="AC287" s="2"/>
      <c r="AD287" s="2"/>
      <c r="AE287" s="2"/>
      <c r="AF287" s="2"/>
      <c r="AG287" s="2"/>
      <c r="AH287" s="2"/>
      <c r="AI287" s="2"/>
      <c r="AJ287" s="2"/>
      <c r="AK287" s="2"/>
      <c r="AL287" s="2"/>
      <c r="AM287" s="2"/>
      <c r="AN287" s="2"/>
      <c r="AO287" s="2"/>
      <c r="AP287" s="2"/>
      <c r="AQ287" s="2"/>
      <c r="AR287" s="2"/>
      <c r="AS287" s="2"/>
      <c r="AT287" s="2"/>
      <c r="AU287" s="2"/>
      <c r="AV287" s="2"/>
      <c r="AW287" s="2"/>
      <c r="AX287" s="2"/>
      <c r="AY287" s="2"/>
      <c r="AZ287" s="2"/>
      <c r="BA287" s="2"/>
      <c r="BB287" s="2"/>
      <c r="BC287" s="2"/>
      <c r="BD287" s="2"/>
      <c r="BE287" s="2"/>
      <c r="BF287" s="2"/>
      <c r="BG287" s="2"/>
      <c r="BH287" s="2"/>
      <c r="BI287" s="2"/>
    </row>
    <row r="288" spans="1:61">
      <c r="A288" s="2"/>
      <c r="B288" s="2"/>
      <c r="C288" s="2"/>
      <c r="D288" s="2"/>
      <c r="E288" s="2"/>
      <c r="F288" s="2"/>
      <c r="G288" s="2"/>
      <c r="H288" s="2"/>
      <c r="I288" s="2"/>
      <c r="J288" s="2"/>
      <c r="K288" s="2"/>
      <c r="L288" s="2"/>
      <c r="M288" s="2"/>
      <c r="N288" s="2"/>
      <c r="O288" s="2"/>
      <c r="P288" s="2"/>
      <c r="Q288" s="2"/>
      <c r="R288" s="2"/>
      <c r="S288" s="2"/>
      <c r="T288" s="2"/>
      <c r="U288" s="2"/>
      <c r="V288" s="2"/>
      <c r="W288" s="2"/>
      <c r="X288" s="2"/>
      <c r="Y288" s="2"/>
      <c r="Z288" s="2"/>
      <c r="AA288" s="2"/>
      <c r="AB288" s="2"/>
      <c r="AC288" s="2"/>
      <c r="AD288" s="2"/>
      <c r="AE288" s="2"/>
      <c r="AF288" s="2"/>
      <c r="AG288" s="2"/>
      <c r="AH288" s="2"/>
      <c r="AI288" s="2"/>
      <c r="AJ288" s="2"/>
      <c r="AK288" s="2"/>
      <c r="AL288" s="2"/>
      <c r="AM288" s="2"/>
      <c r="AN288" s="2"/>
      <c r="AO288" s="2"/>
      <c r="AP288" s="2"/>
      <c r="AQ288" s="2"/>
      <c r="AR288" s="2"/>
      <c r="AS288" s="2"/>
      <c r="AT288" s="2"/>
      <c r="AU288" s="2"/>
      <c r="AV288" s="2"/>
      <c r="AW288" s="2"/>
      <c r="AX288" s="2"/>
      <c r="AY288" s="2"/>
      <c r="AZ288" s="2"/>
      <c r="BA288" s="2"/>
      <c r="BB288" s="2"/>
      <c r="BC288" s="2"/>
      <c r="BD288" s="2"/>
      <c r="BE288" s="2"/>
      <c r="BF288" s="2"/>
      <c r="BG288" s="2"/>
      <c r="BH288" s="2"/>
      <c r="BI288" s="2"/>
    </row>
    <row r="289" spans="1:61">
      <c r="A289" s="2"/>
      <c r="B289" s="2"/>
      <c r="C289" s="2"/>
      <c r="D289" s="2"/>
      <c r="E289" s="2"/>
      <c r="F289" s="2"/>
      <c r="G289" s="2"/>
      <c r="H289" s="2"/>
      <c r="I289" s="2"/>
      <c r="J289" s="2"/>
      <c r="K289" s="2"/>
      <c r="L289" s="2"/>
      <c r="M289" s="2"/>
      <c r="N289" s="2"/>
      <c r="O289" s="2"/>
      <c r="P289" s="2"/>
      <c r="Q289" s="2"/>
      <c r="R289" s="2"/>
      <c r="S289" s="2"/>
      <c r="T289" s="2"/>
      <c r="U289" s="2"/>
      <c r="V289" s="2"/>
      <c r="W289" s="2"/>
      <c r="X289" s="2"/>
      <c r="Y289" s="2"/>
      <c r="Z289" s="2"/>
      <c r="AA289" s="2"/>
      <c r="AB289" s="2"/>
      <c r="AC289" s="2"/>
      <c r="AD289" s="2"/>
      <c r="AE289" s="2"/>
      <c r="AF289" s="2"/>
      <c r="AG289" s="2"/>
      <c r="AH289" s="2"/>
      <c r="AI289" s="2"/>
      <c r="AJ289" s="2"/>
      <c r="AK289" s="2"/>
      <c r="AL289" s="2"/>
      <c r="AM289" s="2"/>
      <c r="AN289" s="2"/>
      <c r="AO289" s="2"/>
      <c r="AP289" s="2"/>
      <c r="AQ289" s="2"/>
      <c r="AR289" s="2"/>
      <c r="AS289" s="2"/>
      <c r="AT289" s="2"/>
      <c r="AU289" s="2"/>
      <c r="AV289" s="2"/>
      <c r="AW289" s="2"/>
      <c r="AX289" s="2"/>
      <c r="AY289" s="2"/>
      <c r="AZ289" s="2"/>
      <c r="BA289" s="2"/>
      <c r="BB289" s="2"/>
      <c r="BC289" s="2"/>
      <c r="BD289" s="2"/>
      <c r="BE289" s="2"/>
      <c r="BF289" s="2"/>
      <c r="BG289" s="2"/>
      <c r="BH289" s="2"/>
      <c r="BI289" s="2"/>
    </row>
    <row r="290" spans="1:61">
      <c r="A290" s="2"/>
      <c r="B290" s="2"/>
      <c r="C290" s="2"/>
      <c r="D290" s="2"/>
      <c r="E290" s="2"/>
      <c r="F290" s="2"/>
      <c r="G290" s="2"/>
      <c r="H290" s="2"/>
      <c r="I290" s="2"/>
      <c r="J290" s="2"/>
      <c r="K290" s="2"/>
      <c r="L290" s="2"/>
      <c r="M290" s="2"/>
      <c r="N290" s="2"/>
      <c r="O290" s="2"/>
      <c r="P290" s="2"/>
      <c r="Q290" s="2"/>
      <c r="R290" s="2"/>
      <c r="S290" s="2"/>
      <c r="T290" s="2"/>
      <c r="U290" s="2"/>
      <c r="V290" s="2"/>
      <c r="W290" s="2"/>
      <c r="X290" s="2"/>
      <c r="Y290" s="2"/>
      <c r="Z290" s="2"/>
      <c r="AA290" s="2"/>
      <c r="AB290" s="2"/>
      <c r="AC290" s="2"/>
      <c r="AD290" s="2"/>
      <c r="AE290" s="2"/>
      <c r="AF290" s="2"/>
      <c r="AG290" s="2"/>
      <c r="AH290" s="2"/>
      <c r="AI290" s="2"/>
      <c r="AJ290" s="2"/>
      <c r="AK290" s="2"/>
      <c r="AL290" s="2"/>
      <c r="AM290" s="2"/>
      <c r="AN290" s="2"/>
      <c r="AO290" s="2"/>
      <c r="AP290" s="2"/>
      <c r="AQ290" s="2"/>
      <c r="AR290" s="2"/>
      <c r="AS290" s="2"/>
      <c r="AT290" s="2"/>
      <c r="AU290" s="2"/>
      <c r="AV290" s="2"/>
      <c r="AW290" s="2"/>
      <c r="AX290" s="2"/>
      <c r="AY290" s="2"/>
      <c r="AZ290" s="2"/>
      <c r="BA290" s="2"/>
      <c r="BB290" s="2"/>
      <c r="BC290" s="2"/>
      <c r="BD290" s="2"/>
      <c r="BE290" s="2"/>
      <c r="BF290" s="2"/>
      <c r="BG290" s="2"/>
      <c r="BH290" s="2"/>
      <c r="BI290" s="2"/>
    </row>
    <row r="291" spans="1:61">
      <c r="A291" s="2"/>
      <c r="B291" s="2"/>
      <c r="C291" s="2"/>
      <c r="D291" s="2"/>
      <c r="E291" s="2"/>
      <c r="F291" s="2"/>
      <c r="G291" s="2"/>
      <c r="H291" s="2"/>
      <c r="I291" s="2"/>
      <c r="J291" s="2"/>
      <c r="K291" s="2"/>
      <c r="L291" s="2"/>
      <c r="M291" s="2"/>
      <c r="N291" s="2"/>
      <c r="O291" s="2"/>
      <c r="P291" s="2"/>
      <c r="Q291" s="2"/>
      <c r="R291" s="2"/>
      <c r="S291" s="2"/>
      <c r="T291" s="2"/>
      <c r="U291" s="2"/>
      <c r="V291" s="2"/>
      <c r="W291" s="2"/>
      <c r="X291" s="2"/>
      <c r="Y291" s="2"/>
      <c r="Z291" s="2"/>
      <c r="AA291" s="2"/>
      <c r="AB291" s="2"/>
      <c r="AC291" s="2"/>
      <c r="AD291" s="2"/>
      <c r="AE291" s="2"/>
      <c r="AF291" s="2"/>
      <c r="AG291" s="2"/>
      <c r="AH291" s="2"/>
      <c r="AI291" s="2"/>
      <c r="AJ291" s="2"/>
      <c r="AK291" s="2"/>
      <c r="AL291" s="2"/>
      <c r="AM291" s="2"/>
      <c r="AN291" s="2"/>
      <c r="AO291" s="2"/>
      <c r="AP291" s="2"/>
      <c r="AQ291" s="2"/>
      <c r="AR291" s="2"/>
      <c r="AS291" s="2"/>
      <c r="AT291" s="2"/>
      <c r="AU291" s="2"/>
      <c r="AV291" s="2"/>
      <c r="AW291" s="2"/>
      <c r="AX291" s="2"/>
      <c r="AY291" s="2"/>
      <c r="AZ291" s="2"/>
      <c r="BA291" s="2"/>
      <c r="BB291" s="2"/>
      <c r="BC291" s="2"/>
      <c r="BD291" s="2"/>
      <c r="BE291" s="2"/>
      <c r="BF291" s="2"/>
      <c r="BG291" s="2"/>
      <c r="BH291" s="2"/>
      <c r="BI291" s="2"/>
    </row>
    <row r="292" spans="1:61">
      <c r="A292" s="2"/>
      <c r="B292" s="2"/>
      <c r="C292" s="2"/>
      <c r="D292" s="2"/>
      <c r="E292" s="2"/>
      <c r="F292" s="2"/>
      <c r="G292" s="2"/>
      <c r="H292" s="2"/>
      <c r="I292" s="2"/>
      <c r="J292" s="2"/>
      <c r="K292" s="2"/>
      <c r="L292" s="2"/>
      <c r="M292" s="2"/>
      <c r="N292" s="2"/>
      <c r="O292" s="2"/>
      <c r="P292" s="2"/>
      <c r="Q292" s="2"/>
      <c r="R292" s="2"/>
      <c r="S292" s="2"/>
      <c r="T292" s="2"/>
      <c r="U292" s="2"/>
      <c r="V292" s="2"/>
      <c r="W292" s="2"/>
      <c r="X292" s="2"/>
      <c r="Y292" s="2"/>
      <c r="Z292" s="2"/>
      <c r="AA292" s="2"/>
      <c r="AB292" s="2"/>
      <c r="AC292" s="2"/>
      <c r="AD292" s="2"/>
      <c r="AE292" s="2"/>
      <c r="AF292" s="2"/>
      <c r="AG292" s="2"/>
      <c r="AH292" s="2"/>
      <c r="AI292" s="2"/>
      <c r="AJ292" s="2"/>
      <c r="AK292" s="2"/>
      <c r="AL292" s="2"/>
      <c r="AM292" s="2"/>
      <c r="AN292" s="2"/>
      <c r="AO292" s="2"/>
      <c r="AP292" s="2"/>
      <c r="AQ292" s="2"/>
      <c r="AR292" s="2"/>
      <c r="AS292" s="2"/>
      <c r="AT292" s="2"/>
      <c r="AU292" s="2"/>
      <c r="AV292" s="2"/>
      <c r="AW292" s="2"/>
      <c r="AX292" s="2"/>
      <c r="AY292" s="2"/>
      <c r="AZ292" s="2"/>
      <c r="BA292" s="2"/>
      <c r="BB292" s="2"/>
      <c r="BC292" s="2"/>
      <c r="BD292" s="2"/>
      <c r="BE292" s="2"/>
      <c r="BF292" s="2"/>
      <c r="BG292" s="2"/>
      <c r="BH292" s="2"/>
      <c r="BI292" s="2"/>
    </row>
    <row r="293" spans="1:61">
      <c r="A293" s="2"/>
      <c r="B293" s="2"/>
      <c r="C293" s="2"/>
      <c r="D293" s="2"/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/>
      <c r="P293" s="2"/>
      <c r="Q293" s="2"/>
      <c r="R293" s="2"/>
      <c r="S293" s="2"/>
      <c r="T293" s="2"/>
      <c r="U293" s="2"/>
      <c r="V293" s="2"/>
      <c r="W293" s="2"/>
      <c r="X293" s="2"/>
      <c r="Y293" s="2"/>
      <c r="Z293" s="2"/>
      <c r="AA293" s="2"/>
      <c r="AB293" s="2"/>
      <c r="AC293" s="2"/>
      <c r="AD293" s="2"/>
      <c r="AE293" s="2"/>
      <c r="AF293" s="2"/>
      <c r="AG293" s="2"/>
      <c r="AH293" s="2"/>
      <c r="AI293" s="2"/>
      <c r="AJ293" s="2"/>
      <c r="AK293" s="2"/>
      <c r="AL293" s="2"/>
      <c r="AM293" s="2"/>
      <c r="AN293" s="2"/>
      <c r="AO293" s="2"/>
      <c r="AP293" s="2"/>
      <c r="AQ293" s="2"/>
      <c r="AR293" s="2"/>
      <c r="AS293" s="2"/>
      <c r="AT293" s="2"/>
      <c r="AU293" s="2"/>
      <c r="AV293" s="2"/>
      <c r="AW293" s="2"/>
      <c r="AX293" s="2"/>
      <c r="AY293" s="2"/>
      <c r="AZ293" s="2"/>
      <c r="BA293" s="2"/>
      <c r="BB293" s="2"/>
      <c r="BC293" s="2"/>
      <c r="BD293" s="2"/>
      <c r="BE293" s="2"/>
      <c r="BF293" s="2"/>
      <c r="BG293" s="2"/>
      <c r="BH293" s="2"/>
      <c r="BI293" s="2"/>
    </row>
    <row r="294" spans="1:61">
      <c r="A294" s="2"/>
      <c r="B294" s="2"/>
      <c r="C294" s="2"/>
      <c r="D294" s="2"/>
      <c r="E294" s="2"/>
      <c r="F294" s="2"/>
      <c r="G294" s="2"/>
      <c r="H294" s="2"/>
      <c r="I294" s="2"/>
      <c r="J294" s="2"/>
      <c r="K294" s="2"/>
      <c r="L294" s="2"/>
      <c r="M294" s="2"/>
      <c r="N294" s="2"/>
      <c r="O294" s="2"/>
      <c r="P294" s="2"/>
      <c r="Q294" s="2"/>
      <c r="R294" s="2"/>
      <c r="S294" s="2"/>
      <c r="T294" s="2"/>
      <c r="U294" s="2"/>
      <c r="V294" s="2"/>
      <c r="W294" s="2"/>
      <c r="X294" s="2"/>
      <c r="Y294" s="2"/>
      <c r="Z294" s="2"/>
      <c r="AA294" s="2"/>
      <c r="AB294" s="2"/>
      <c r="AC294" s="2"/>
      <c r="AD294" s="2"/>
      <c r="AE294" s="2"/>
      <c r="AF294" s="2"/>
      <c r="AG294" s="2"/>
      <c r="AH294" s="2"/>
      <c r="AI294" s="2"/>
      <c r="AJ294" s="2"/>
      <c r="AK294" s="2"/>
      <c r="AL294" s="2"/>
      <c r="AM294" s="2"/>
      <c r="AN294" s="2"/>
      <c r="AO294" s="2"/>
      <c r="AP294" s="2"/>
      <c r="AQ294" s="2"/>
      <c r="AR294" s="2"/>
      <c r="AS294" s="2"/>
      <c r="AT294" s="2"/>
      <c r="AU294" s="2"/>
      <c r="AV294" s="2"/>
      <c r="AW294" s="2"/>
      <c r="AX294" s="2"/>
      <c r="AY294" s="2"/>
      <c r="AZ294" s="2"/>
      <c r="BA294" s="2"/>
      <c r="BB294" s="2"/>
      <c r="BC294" s="2"/>
      <c r="BD294" s="2"/>
      <c r="BE294" s="2"/>
      <c r="BF294" s="2"/>
      <c r="BG294" s="2"/>
      <c r="BH294" s="2"/>
      <c r="BI294" s="2"/>
    </row>
    <row r="295" spans="1:61">
      <c r="A295" s="2"/>
      <c r="B295" s="2"/>
      <c r="C295" s="2"/>
      <c r="D295" s="2"/>
      <c r="E295" s="2"/>
      <c r="F295" s="2"/>
      <c r="G295" s="2"/>
      <c r="H295" s="2"/>
      <c r="I295" s="2"/>
      <c r="J295" s="2"/>
      <c r="K295" s="2"/>
      <c r="L295" s="2"/>
      <c r="M295" s="2"/>
      <c r="N295" s="2"/>
      <c r="O295" s="2"/>
      <c r="P295" s="2"/>
      <c r="Q295" s="2"/>
      <c r="R295" s="2"/>
      <c r="S295" s="2"/>
      <c r="T295" s="2"/>
      <c r="U295" s="2"/>
      <c r="V295" s="2"/>
      <c r="W295" s="2"/>
      <c r="X295" s="2"/>
      <c r="Y295" s="2"/>
      <c r="Z295" s="2"/>
      <c r="AA295" s="2"/>
      <c r="AB295" s="2"/>
      <c r="AC295" s="2"/>
      <c r="AD295" s="2"/>
      <c r="AE295" s="2"/>
      <c r="AF295" s="2"/>
      <c r="AG295" s="2"/>
      <c r="AH295" s="2"/>
      <c r="AI295" s="2"/>
      <c r="AJ295" s="2"/>
      <c r="AK295" s="2"/>
      <c r="AL295" s="2"/>
      <c r="AM295" s="2"/>
      <c r="AN295" s="2"/>
      <c r="AO295" s="2"/>
      <c r="AP295" s="2"/>
      <c r="AQ295" s="2"/>
      <c r="AR295" s="2"/>
      <c r="AS295" s="2"/>
      <c r="AT295" s="2"/>
      <c r="AU295" s="2"/>
      <c r="AV295" s="2"/>
      <c r="AW295" s="2"/>
      <c r="AX295" s="2"/>
      <c r="AY295" s="2"/>
      <c r="AZ295" s="2"/>
      <c r="BA295" s="2"/>
      <c r="BB295" s="2"/>
      <c r="BC295" s="2"/>
      <c r="BD295" s="2"/>
      <c r="BE295" s="2"/>
      <c r="BF295" s="2"/>
      <c r="BG295" s="2"/>
      <c r="BH295" s="2"/>
      <c r="BI295" s="2"/>
    </row>
    <row r="296" spans="1:61">
      <c r="A296" s="2"/>
      <c r="B296" s="2"/>
      <c r="C296" s="2"/>
      <c r="D296" s="2"/>
      <c r="E296" s="2"/>
      <c r="F296" s="2"/>
      <c r="G296" s="2"/>
      <c r="H296" s="2"/>
      <c r="I296" s="2"/>
      <c r="J296" s="2"/>
      <c r="K296" s="2"/>
      <c r="L296" s="2"/>
      <c r="M296" s="2"/>
      <c r="N296" s="2"/>
      <c r="O296" s="2"/>
      <c r="P296" s="2"/>
      <c r="Q296" s="2"/>
      <c r="R296" s="2"/>
      <c r="S296" s="2"/>
      <c r="T296" s="2"/>
      <c r="U296" s="2"/>
      <c r="V296" s="2"/>
      <c r="W296" s="2"/>
      <c r="X296" s="2"/>
      <c r="Y296" s="2"/>
      <c r="Z296" s="2"/>
      <c r="AA296" s="2"/>
      <c r="AB296" s="2"/>
      <c r="AC296" s="2"/>
      <c r="AD296" s="2"/>
      <c r="AE296" s="2"/>
      <c r="AF296" s="2"/>
      <c r="AG296" s="2"/>
      <c r="AH296" s="2"/>
      <c r="AI296" s="2"/>
      <c r="AJ296" s="2"/>
      <c r="AK296" s="2"/>
      <c r="AL296" s="2"/>
      <c r="AM296" s="2"/>
      <c r="AN296" s="2"/>
      <c r="AO296" s="2"/>
      <c r="AP296" s="2"/>
      <c r="AQ296" s="2"/>
      <c r="AR296" s="2"/>
      <c r="AS296" s="2"/>
      <c r="AT296" s="2"/>
      <c r="AU296" s="2"/>
      <c r="AV296" s="2"/>
      <c r="AW296" s="2"/>
      <c r="AX296" s="2"/>
      <c r="AY296" s="2"/>
      <c r="AZ296" s="2"/>
      <c r="BA296" s="2"/>
      <c r="BB296" s="2"/>
      <c r="BC296" s="2"/>
      <c r="BD296" s="2"/>
      <c r="BE296" s="2"/>
      <c r="BF296" s="2"/>
      <c r="BG296" s="2"/>
      <c r="BH296" s="2"/>
      <c r="BI296" s="2"/>
    </row>
    <row r="297" spans="1:61">
      <c r="A297" s="2"/>
      <c r="B297" s="2"/>
      <c r="C297" s="2"/>
      <c r="D297" s="2"/>
      <c r="E297" s="2"/>
      <c r="F297" s="2"/>
      <c r="G297" s="2"/>
      <c r="H297" s="2"/>
      <c r="I297" s="2"/>
      <c r="J297" s="2"/>
      <c r="K297" s="2"/>
      <c r="L297" s="2"/>
      <c r="M297" s="2"/>
      <c r="N297" s="2"/>
      <c r="O297" s="2"/>
      <c r="P297" s="2"/>
      <c r="Q297" s="2"/>
      <c r="R297" s="2"/>
      <c r="S297" s="2"/>
      <c r="T297" s="2"/>
      <c r="U297" s="2"/>
      <c r="V297" s="2"/>
      <c r="W297" s="2"/>
      <c r="X297" s="2"/>
      <c r="Y297" s="2"/>
      <c r="Z297" s="2"/>
      <c r="AA297" s="2"/>
      <c r="AB297" s="2"/>
      <c r="AC297" s="2"/>
      <c r="AD297" s="2"/>
      <c r="AE297" s="2"/>
      <c r="AF297" s="2"/>
      <c r="AG297" s="2"/>
      <c r="AH297" s="2"/>
      <c r="AI297" s="2"/>
      <c r="AJ297" s="2"/>
      <c r="AK297" s="2"/>
      <c r="AL297" s="2"/>
      <c r="AM297" s="2"/>
      <c r="AN297" s="2"/>
      <c r="AO297" s="2"/>
      <c r="AP297" s="2"/>
      <c r="AQ297" s="2"/>
      <c r="AR297" s="2"/>
      <c r="AS297" s="2"/>
      <c r="AT297" s="2"/>
      <c r="AU297" s="2"/>
      <c r="AV297" s="2"/>
      <c r="AW297" s="2"/>
      <c r="AX297" s="2"/>
      <c r="AY297" s="2"/>
      <c r="AZ297" s="2"/>
      <c r="BA297" s="2"/>
      <c r="BB297" s="2"/>
      <c r="BC297" s="2"/>
      <c r="BD297" s="2"/>
      <c r="BE297" s="2"/>
      <c r="BF297" s="2"/>
      <c r="BG297" s="2"/>
      <c r="BH297" s="2"/>
      <c r="BI297" s="2"/>
    </row>
    <row r="298" spans="1:61">
      <c r="A298" s="2"/>
      <c r="B298" s="2"/>
      <c r="C298" s="2"/>
      <c r="D298" s="2"/>
      <c r="E298" s="2"/>
      <c r="F298" s="2"/>
      <c r="G298" s="2"/>
      <c r="H298" s="2"/>
      <c r="I298" s="2"/>
      <c r="J298" s="2"/>
      <c r="K298" s="2"/>
      <c r="L298" s="76"/>
      <c r="M298" s="76"/>
      <c r="N298" s="76"/>
      <c r="O298" s="76"/>
      <c r="P298" s="76"/>
      <c r="Q298" s="76"/>
      <c r="R298" s="76"/>
      <c r="S298" s="76"/>
      <c r="T298" s="76"/>
      <c r="U298" s="76"/>
      <c r="V298" s="76"/>
      <c r="W298" s="76"/>
      <c r="X298" s="76"/>
      <c r="Y298" s="76"/>
      <c r="Z298" s="76"/>
      <c r="AA298" s="76"/>
      <c r="AB298" s="76"/>
      <c r="AC298" s="76"/>
      <c r="AD298" s="76"/>
      <c r="AE298" s="76"/>
      <c r="AF298" s="76"/>
      <c r="AG298" s="76"/>
      <c r="AH298" s="76"/>
      <c r="AI298" s="76"/>
      <c r="AJ298" s="76"/>
      <c r="AK298" s="76"/>
      <c r="AL298" s="76"/>
      <c r="AM298" s="76"/>
      <c r="AN298" s="76"/>
      <c r="AO298" s="76"/>
      <c r="AP298" s="76"/>
      <c r="AQ298" s="76"/>
      <c r="AR298" s="76"/>
      <c r="AS298" s="76"/>
      <c r="AT298" s="76"/>
      <c r="AU298" s="76"/>
      <c r="AV298" s="76"/>
      <c r="AW298" s="76"/>
      <c r="AX298" s="76"/>
      <c r="AY298" s="76"/>
      <c r="AZ298" s="76"/>
      <c r="BA298" s="76"/>
      <c r="BB298" s="76"/>
      <c r="BC298" s="76"/>
      <c r="BD298" s="76"/>
      <c r="BE298" s="76"/>
      <c r="BF298" s="76"/>
      <c r="BG298" s="76"/>
      <c r="BH298" s="76"/>
      <c r="BI298" s="76"/>
    </row>
    <row r="299" spans="1:61">
      <c r="A299" s="2"/>
      <c r="B299" s="2"/>
      <c r="C299" s="2"/>
      <c r="D299" s="2"/>
      <c r="E299" s="2"/>
      <c r="F299" s="2"/>
      <c r="G299" s="2"/>
      <c r="H299" s="2"/>
      <c r="I299" s="2"/>
      <c r="J299" s="2"/>
      <c r="K299" s="2"/>
      <c r="L299" s="76"/>
      <c r="M299" s="76"/>
      <c r="N299" s="76"/>
      <c r="O299" s="76"/>
      <c r="P299" s="76"/>
      <c r="Q299" s="76"/>
      <c r="R299" s="76"/>
      <c r="S299" s="76"/>
      <c r="T299" s="76"/>
      <c r="U299" s="76"/>
      <c r="V299" s="76"/>
      <c r="W299" s="76"/>
      <c r="X299" s="76"/>
      <c r="Y299" s="76"/>
      <c r="Z299" s="76"/>
      <c r="AA299" s="76"/>
      <c r="AB299" s="76"/>
      <c r="AC299" s="76"/>
      <c r="AD299" s="76"/>
      <c r="AE299" s="76"/>
      <c r="AF299" s="76"/>
      <c r="AG299" s="76"/>
      <c r="AH299" s="76"/>
      <c r="AI299" s="76"/>
      <c r="AJ299" s="76"/>
      <c r="AK299" s="76"/>
      <c r="AL299" s="76"/>
      <c r="AM299" s="76"/>
      <c r="AN299" s="76"/>
      <c r="AO299" s="76"/>
      <c r="AP299" s="76"/>
      <c r="AQ299" s="76"/>
      <c r="AR299" s="76"/>
      <c r="AS299" s="76"/>
      <c r="AT299" s="76"/>
      <c r="AU299" s="76"/>
      <c r="AV299" s="76"/>
      <c r="AW299" s="76"/>
      <c r="AX299" s="76"/>
      <c r="AY299" s="76"/>
      <c r="AZ299" s="76"/>
      <c r="BA299" s="76"/>
      <c r="BB299" s="76"/>
      <c r="BC299" s="76"/>
      <c r="BD299" s="76"/>
      <c r="BE299" s="76"/>
      <c r="BF299" s="76"/>
      <c r="BG299" s="76"/>
      <c r="BH299" s="76"/>
      <c r="BI299" s="76"/>
    </row>
    <row r="300" spans="1:61">
      <c r="A300" s="2"/>
      <c r="B300" s="2"/>
      <c r="C300" s="2"/>
      <c r="D300" s="2"/>
      <c r="E300" s="2"/>
      <c r="F300" s="2"/>
      <c r="G300" s="2"/>
      <c r="H300" s="2"/>
      <c r="I300" s="2"/>
      <c r="J300" s="2"/>
      <c r="K300" s="2"/>
      <c r="L300" s="76"/>
      <c r="M300" s="76"/>
      <c r="N300" s="76"/>
      <c r="O300" s="76"/>
      <c r="P300" s="76"/>
      <c r="Q300" s="76"/>
      <c r="R300" s="76"/>
      <c r="S300" s="76"/>
      <c r="T300" s="76"/>
      <c r="U300" s="76"/>
      <c r="V300" s="76"/>
      <c r="W300" s="76"/>
      <c r="X300" s="76"/>
      <c r="Y300" s="76"/>
      <c r="Z300" s="76"/>
      <c r="AA300" s="76"/>
      <c r="AB300" s="76"/>
      <c r="AC300" s="76"/>
      <c r="AD300" s="76"/>
      <c r="AE300" s="76"/>
      <c r="AF300" s="76"/>
      <c r="AG300" s="76"/>
      <c r="AH300" s="76"/>
      <c r="AI300" s="76"/>
      <c r="AJ300" s="76"/>
      <c r="AK300" s="76"/>
      <c r="AL300" s="76"/>
      <c r="AM300" s="76"/>
      <c r="AN300" s="76"/>
      <c r="AO300" s="76"/>
      <c r="AP300" s="76"/>
      <c r="AQ300" s="76"/>
      <c r="AR300" s="76"/>
      <c r="AS300" s="76"/>
      <c r="AT300" s="76"/>
      <c r="AU300" s="76"/>
      <c r="AV300" s="76"/>
      <c r="AW300" s="76"/>
      <c r="AX300" s="76"/>
      <c r="AY300" s="76"/>
      <c r="AZ300" s="76"/>
      <c r="BA300" s="76"/>
      <c r="BB300" s="76"/>
      <c r="BC300" s="76"/>
      <c r="BD300" s="76"/>
      <c r="BE300" s="76"/>
      <c r="BF300" s="76"/>
      <c r="BG300" s="76"/>
      <c r="BH300" s="76"/>
      <c r="BI300" s="76"/>
    </row>
    <row r="301" spans="1:61">
      <c r="A301" s="2"/>
      <c r="B301" s="2"/>
      <c r="C301" s="2"/>
      <c r="D301" s="2"/>
      <c r="E301" s="2"/>
      <c r="F301" s="2"/>
      <c r="G301" s="2"/>
      <c r="H301" s="2"/>
      <c r="I301" s="2"/>
      <c r="J301" s="2"/>
      <c r="K301" s="2"/>
      <c r="L301" s="76"/>
      <c r="M301" s="76"/>
      <c r="N301" s="76"/>
      <c r="O301" s="76"/>
      <c r="P301" s="76"/>
      <c r="Q301" s="76"/>
      <c r="R301" s="76"/>
      <c r="S301" s="76"/>
      <c r="T301" s="76"/>
      <c r="U301" s="76"/>
      <c r="V301" s="76"/>
      <c r="W301" s="76"/>
      <c r="X301" s="76"/>
      <c r="Y301" s="76"/>
      <c r="Z301" s="76"/>
      <c r="AA301" s="76"/>
      <c r="AB301" s="76"/>
      <c r="AC301" s="76"/>
      <c r="AD301" s="76"/>
      <c r="AE301" s="76"/>
      <c r="AF301" s="76"/>
      <c r="AG301" s="76"/>
      <c r="AH301" s="76"/>
      <c r="AI301" s="76"/>
      <c r="AJ301" s="76"/>
      <c r="AK301" s="76"/>
      <c r="AL301" s="76"/>
      <c r="AM301" s="76"/>
      <c r="AN301" s="76"/>
      <c r="AO301" s="76"/>
      <c r="AP301" s="76"/>
      <c r="AQ301" s="76"/>
      <c r="AR301" s="76"/>
      <c r="AS301" s="76"/>
      <c r="AT301" s="76"/>
      <c r="AU301" s="76"/>
      <c r="AV301" s="76"/>
      <c r="AW301" s="76"/>
      <c r="AX301" s="76"/>
      <c r="AY301" s="76"/>
      <c r="AZ301" s="76"/>
      <c r="BA301" s="76"/>
      <c r="BB301" s="76"/>
      <c r="BC301" s="76"/>
      <c r="BD301" s="76"/>
      <c r="BE301" s="76"/>
      <c r="BF301" s="76"/>
      <c r="BG301" s="76"/>
      <c r="BH301" s="76"/>
      <c r="BI301" s="76"/>
    </row>
    <row r="302" spans="1:61">
      <c r="A302" s="2"/>
      <c r="B302" s="2"/>
      <c r="C302" s="2"/>
      <c r="D302" s="2"/>
      <c r="E302" s="2"/>
      <c r="F302" s="2"/>
      <c r="G302" s="2"/>
      <c r="H302" s="2"/>
      <c r="I302" s="2"/>
      <c r="J302" s="2"/>
      <c r="K302" s="2"/>
      <c r="L302" s="76"/>
      <c r="M302" s="76"/>
      <c r="N302" s="76"/>
      <c r="O302" s="76"/>
      <c r="P302" s="76"/>
      <c r="Q302" s="76"/>
      <c r="R302" s="76"/>
      <c r="S302" s="76"/>
      <c r="T302" s="76"/>
      <c r="U302" s="76"/>
      <c r="V302" s="76"/>
      <c r="W302" s="76"/>
      <c r="X302" s="76"/>
      <c r="Y302" s="76"/>
      <c r="Z302" s="76"/>
      <c r="AA302" s="76"/>
      <c r="AB302" s="76"/>
      <c r="AC302" s="76"/>
      <c r="AD302" s="76"/>
      <c r="AE302" s="76"/>
      <c r="AF302" s="76"/>
      <c r="AG302" s="76"/>
      <c r="AH302" s="76"/>
      <c r="AI302" s="76"/>
      <c r="AJ302" s="76"/>
      <c r="AK302" s="76"/>
      <c r="AL302" s="76"/>
      <c r="AM302" s="76"/>
      <c r="AN302" s="76"/>
      <c r="AO302" s="76"/>
      <c r="AP302" s="76"/>
      <c r="AQ302" s="76"/>
      <c r="AR302" s="76"/>
      <c r="AS302" s="76"/>
      <c r="AT302" s="76"/>
      <c r="AU302" s="76"/>
      <c r="AV302" s="76"/>
      <c r="AW302" s="76"/>
      <c r="AX302" s="76"/>
      <c r="AY302" s="76"/>
      <c r="AZ302" s="76"/>
      <c r="BA302" s="76"/>
      <c r="BB302" s="76"/>
      <c r="BC302" s="76"/>
      <c r="BD302" s="76"/>
      <c r="BE302" s="76"/>
      <c r="BF302" s="76"/>
      <c r="BG302" s="76"/>
      <c r="BH302" s="76"/>
      <c r="BI302" s="76"/>
    </row>
    <row r="303" spans="1:61">
      <c r="A303" s="2"/>
      <c r="B303" s="2"/>
      <c r="C303" s="2"/>
      <c r="D303" s="2"/>
      <c r="E303" s="2"/>
      <c r="F303" s="2"/>
      <c r="G303" s="2"/>
      <c r="H303" s="2"/>
      <c r="I303" s="2"/>
      <c r="J303" s="2"/>
      <c r="K303" s="2"/>
      <c r="L303" s="76"/>
      <c r="M303" s="76"/>
      <c r="N303" s="76"/>
      <c r="O303" s="76"/>
      <c r="P303" s="76"/>
      <c r="Q303" s="76"/>
      <c r="R303" s="76"/>
      <c r="S303" s="76"/>
      <c r="T303" s="76"/>
      <c r="U303" s="76"/>
      <c r="V303" s="76"/>
      <c r="W303" s="76"/>
      <c r="X303" s="76"/>
      <c r="Y303" s="76"/>
      <c r="Z303" s="76"/>
      <c r="AA303" s="76"/>
      <c r="AB303" s="76"/>
      <c r="AC303" s="76"/>
      <c r="AD303" s="76"/>
      <c r="AE303" s="76"/>
      <c r="AF303" s="76"/>
      <c r="AG303" s="76"/>
      <c r="AH303" s="76"/>
      <c r="AI303" s="76"/>
      <c r="AJ303" s="76"/>
      <c r="AK303" s="76"/>
      <c r="AL303" s="76"/>
      <c r="AM303" s="76"/>
      <c r="AN303" s="76"/>
      <c r="AO303" s="76"/>
      <c r="AP303" s="76"/>
      <c r="AQ303" s="76"/>
      <c r="AR303" s="76"/>
      <c r="AS303" s="76"/>
      <c r="AT303" s="76"/>
      <c r="AU303" s="76"/>
      <c r="AV303" s="76"/>
      <c r="AW303" s="76"/>
      <c r="AX303" s="76"/>
      <c r="AY303" s="76"/>
      <c r="AZ303" s="76"/>
      <c r="BA303" s="76"/>
      <c r="BB303" s="76"/>
      <c r="BC303" s="76"/>
      <c r="BD303" s="76"/>
      <c r="BE303" s="76"/>
      <c r="BF303" s="76"/>
      <c r="BG303" s="76"/>
      <c r="BH303" s="76"/>
      <c r="BI303" s="76"/>
    </row>
    <row r="304" spans="1:61">
      <c r="A304" s="2"/>
      <c r="B304" s="2"/>
      <c r="C304" s="2"/>
      <c r="D304" s="2"/>
      <c r="E304" s="2"/>
      <c r="F304" s="2"/>
      <c r="G304" s="2"/>
      <c r="H304" s="2"/>
      <c r="I304" s="2"/>
      <c r="J304" s="2"/>
      <c r="K304" s="2"/>
      <c r="L304" s="76"/>
      <c r="M304" s="76"/>
      <c r="N304" s="76"/>
      <c r="O304" s="76"/>
      <c r="P304" s="76"/>
      <c r="Q304" s="76"/>
      <c r="R304" s="76"/>
      <c r="S304" s="76"/>
      <c r="T304" s="76"/>
      <c r="U304" s="76"/>
      <c r="V304" s="76"/>
      <c r="W304" s="76"/>
      <c r="X304" s="76"/>
      <c r="Y304" s="76"/>
      <c r="Z304" s="76"/>
      <c r="AA304" s="76"/>
      <c r="AB304" s="76"/>
      <c r="AC304" s="76"/>
      <c r="AD304" s="76"/>
      <c r="AE304" s="76"/>
      <c r="AF304" s="76"/>
      <c r="AG304" s="76"/>
      <c r="AH304" s="76"/>
      <c r="AI304" s="76"/>
      <c r="AJ304" s="76"/>
      <c r="AK304" s="76"/>
      <c r="AL304" s="76"/>
      <c r="AM304" s="76"/>
      <c r="AN304" s="76"/>
      <c r="AO304" s="76"/>
      <c r="AP304" s="76"/>
      <c r="AQ304" s="76"/>
      <c r="AR304" s="76"/>
      <c r="AS304" s="76"/>
      <c r="AT304" s="76"/>
      <c r="AU304" s="76"/>
      <c r="AV304" s="76"/>
      <c r="AW304" s="76"/>
      <c r="AX304" s="76"/>
      <c r="AY304" s="76"/>
      <c r="AZ304" s="76"/>
      <c r="BA304" s="76"/>
      <c r="BB304" s="76"/>
      <c r="BC304" s="76"/>
      <c r="BD304" s="76"/>
      <c r="BE304" s="76"/>
      <c r="BF304" s="76"/>
      <c r="BG304" s="76"/>
      <c r="BH304" s="76"/>
      <c r="BI304" s="76"/>
    </row>
    <row r="305" spans="1:11">
      <c r="A305" s="2"/>
      <c r="B305" s="2"/>
      <c r="C305" s="2"/>
      <c r="D305" s="2"/>
      <c r="E305" s="2"/>
      <c r="F305" s="2"/>
      <c r="G305" s="2"/>
      <c r="H305" s="2"/>
      <c r="I305" s="2"/>
      <c r="J305" s="2"/>
      <c r="K305" s="2"/>
    </row>
    <row r="306" spans="1:11">
      <c r="A306" s="2"/>
      <c r="B306" s="2"/>
      <c r="C306" s="2"/>
      <c r="D306" s="2"/>
      <c r="E306" s="2"/>
      <c r="F306" s="2"/>
      <c r="G306" s="2"/>
      <c r="H306" s="2"/>
      <c r="I306" s="2"/>
      <c r="J306" s="2"/>
      <c r="K306" s="2"/>
    </row>
    <row r="307" spans="1:11">
      <c r="A307" s="2"/>
      <c r="B307" s="2"/>
      <c r="C307" s="2"/>
      <c r="D307" s="2"/>
      <c r="E307" s="2"/>
      <c r="F307" s="2"/>
      <c r="G307" s="2"/>
      <c r="H307" s="2"/>
      <c r="I307" s="2"/>
      <c r="J307" s="2"/>
      <c r="K307" s="2"/>
    </row>
    <row r="308" spans="1:11">
      <c r="A308" s="2"/>
      <c r="B308" s="2"/>
      <c r="C308" s="2"/>
      <c r="D308" s="2"/>
      <c r="E308" s="2"/>
      <c r="F308" s="2"/>
      <c r="G308" s="2"/>
      <c r="H308" s="2"/>
      <c r="I308" s="2"/>
      <c r="J308" s="2"/>
      <c r="K308" s="2"/>
    </row>
    <row r="309" spans="1:11">
      <c r="A309" s="2"/>
      <c r="B309" s="2"/>
      <c r="C309" s="2"/>
      <c r="D309" s="2"/>
      <c r="E309" s="2"/>
      <c r="F309" s="2"/>
      <c r="G309" s="2"/>
      <c r="H309" s="2"/>
      <c r="I309" s="2"/>
      <c r="J309" s="2"/>
      <c r="K309" s="2"/>
    </row>
    <row r="310" spans="1:11">
      <c r="A310" s="2"/>
      <c r="B310" s="2"/>
      <c r="C310" s="2"/>
      <c r="D310" s="2"/>
      <c r="E310" s="2"/>
      <c r="F310" s="2"/>
      <c r="G310" s="2"/>
      <c r="H310" s="2"/>
      <c r="I310" s="2"/>
      <c r="J310" s="2"/>
      <c r="K310" s="2"/>
    </row>
    <row r="311" spans="1:11">
      <c r="A311" s="2"/>
      <c r="B311" s="2"/>
      <c r="C311" s="2"/>
      <c r="D311" s="2"/>
      <c r="E311" s="2"/>
      <c r="F311" s="2"/>
      <c r="G311" s="2"/>
      <c r="H311" s="2"/>
      <c r="I311" s="2"/>
      <c r="J311" s="2"/>
      <c r="K311" s="2"/>
    </row>
    <row r="312" spans="1:11">
      <c r="A312" s="2"/>
      <c r="B312" s="2"/>
      <c r="C312" s="2"/>
      <c r="D312" s="2"/>
      <c r="E312" s="2"/>
      <c r="F312" s="2"/>
      <c r="G312" s="2"/>
      <c r="H312" s="2"/>
      <c r="I312" s="2"/>
      <c r="J312" s="2"/>
      <c r="K312" s="2"/>
    </row>
    <row r="313" spans="1:11">
      <c r="A313" s="2"/>
      <c r="B313" s="2"/>
      <c r="C313" s="2"/>
      <c r="D313" s="2"/>
      <c r="E313" s="2"/>
      <c r="F313" s="2"/>
      <c r="G313" s="2"/>
      <c r="H313" s="2"/>
      <c r="I313" s="2"/>
      <c r="J313" s="2"/>
      <c r="K313" s="2"/>
    </row>
    <row r="314" spans="1:11">
      <c r="A314" s="2"/>
      <c r="B314" s="2"/>
      <c r="C314" s="2"/>
      <c r="D314" s="2"/>
      <c r="E314" s="2"/>
      <c r="F314" s="2"/>
      <c r="G314" s="2"/>
      <c r="H314" s="2"/>
      <c r="I314" s="2"/>
      <c r="J314" s="2"/>
      <c r="K314" s="2"/>
    </row>
    <row r="315" spans="1:11">
      <c r="A315" s="2"/>
      <c r="B315" s="2"/>
      <c r="C315" s="2"/>
      <c r="D315" s="2"/>
      <c r="E315" s="2"/>
      <c r="F315" s="2"/>
      <c r="G315" s="2"/>
      <c r="H315" s="2"/>
      <c r="I315" s="2"/>
      <c r="J315" s="2"/>
      <c r="K315" s="2"/>
    </row>
    <row r="316" spans="1:11">
      <c r="A316" s="2"/>
      <c r="B316" s="2"/>
      <c r="C316" s="2"/>
      <c r="D316" s="2"/>
      <c r="E316" s="2"/>
      <c r="F316" s="2"/>
      <c r="G316" s="2"/>
      <c r="H316" s="2"/>
      <c r="I316" s="2"/>
      <c r="J316" s="2"/>
      <c r="K316" s="2"/>
    </row>
    <row r="317" spans="1:11">
      <c r="A317" s="2"/>
      <c r="B317" s="2"/>
      <c r="C317" s="2"/>
      <c r="D317" s="2"/>
      <c r="E317" s="2"/>
      <c r="F317" s="2"/>
      <c r="G317" s="2"/>
      <c r="H317" s="2"/>
      <c r="I317" s="2"/>
      <c r="J317" s="2"/>
      <c r="K317" s="2"/>
    </row>
    <row r="318" spans="1:11">
      <c r="A318" s="2"/>
      <c r="B318" s="2"/>
      <c r="C318" s="2"/>
      <c r="D318" s="2"/>
      <c r="E318" s="2"/>
      <c r="F318" s="2"/>
      <c r="G318" s="2"/>
      <c r="H318" s="2"/>
      <c r="I318" s="2"/>
      <c r="J318" s="2"/>
      <c r="K318" s="2"/>
    </row>
    <row r="319" spans="1:11">
      <c r="A319" s="2"/>
      <c r="B319" s="2"/>
      <c r="C319" s="2"/>
      <c r="D319" s="2"/>
      <c r="E319" s="2"/>
      <c r="F319" s="2"/>
      <c r="G319" s="2"/>
      <c r="H319" s="2"/>
      <c r="I319" s="2"/>
      <c r="J319" s="2"/>
      <c r="K319" s="2"/>
    </row>
    <row r="320" spans="1:11">
      <c r="A320" s="2"/>
      <c r="B320" s="2"/>
      <c r="C320" s="2"/>
      <c r="D320" s="2"/>
      <c r="E320" s="2"/>
      <c r="F320" s="2"/>
      <c r="G320" s="2"/>
      <c r="H320" s="2"/>
      <c r="I320" s="2"/>
      <c r="J320" s="2"/>
      <c r="K320" s="2"/>
    </row>
    <row r="321" spans="1:11">
      <c r="A321" s="2"/>
      <c r="B321" s="2"/>
      <c r="C321" s="2"/>
      <c r="D321" s="2"/>
      <c r="E321" s="2"/>
      <c r="F321" s="2"/>
      <c r="G321" s="2"/>
      <c r="H321" s="2"/>
      <c r="I321" s="2"/>
      <c r="J321" s="2"/>
      <c r="K321" s="2"/>
    </row>
    <row r="322" spans="1:11">
      <c r="A322" s="2"/>
      <c r="B322" s="2"/>
      <c r="C322" s="2"/>
      <c r="D322" s="2"/>
      <c r="E322" s="2"/>
      <c r="F322" s="2"/>
      <c r="G322" s="2"/>
      <c r="H322" s="2"/>
      <c r="I322" s="2"/>
      <c r="J322" s="2"/>
      <c r="K322" s="2"/>
    </row>
    <row r="323" spans="1:11">
      <c r="A323" s="2"/>
      <c r="B323" s="2"/>
      <c r="C323" s="2"/>
      <c r="D323" s="2"/>
      <c r="E323" s="2"/>
      <c r="F323" s="2"/>
      <c r="G323" s="2"/>
      <c r="H323" s="2"/>
      <c r="I323" s="2"/>
      <c r="J323" s="2"/>
      <c r="K323" s="2"/>
    </row>
    <row r="324" spans="1:11">
      <c r="A324" s="2"/>
      <c r="B324" s="2"/>
      <c r="C324" s="2"/>
      <c r="D324" s="2"/>
      <c r="E324" s="2"/>
      <c r="F324" s="2"/>
      <c r="G324" s="2"/>
      <c r="H324" s="2"/>
      <c r="I324" s="2"/>
      <c r="J324" s="2"/>
      <c r="K324" s="2"/>
    </row>
    <row r="325" spans="1:11">
      <c r="A325" s="2"/>
      <c r="B325" s="2"/>
      <c r="C325" s="2"/>
      <c r="D325" s="2"/>
      <c r="E325" s="2"/>
      <c r="F325" s="2"/>
      <c r="G325" s="2"/>
      <c r="H325" s="2"/>
      <c r="I325" s="2"/>
      <c r="J325" s="2"/>
      <c r="K325" s="2"/>
    </row>
    <row r="326" spans="1:11">
      <c r="A326" s="2"/>
      <c r="B326" s="2"/>
      <c r="C326" s="2"/>
      <c r="D326" s="2"/>
      <c r="E326" s="2"/>
      <c r="F326" s="2"/>
      <c r="G326" s="2"/>
      <c r="H326" s="2"/>
      <c r="I326" s="2"/>
      <c r="J326" s="2"/>
      <c r="K326" s="2"/>
    </row>
    <row r="327" spans="1:11">
      <c r="A327" s="2"/>
      <c r="B327" s="2"/>
      <c r="C327" s="2"/>
      <c r="D327" s="2"/>
      <c r="E327" s="2"/>
      <c r="F327" s="2"/>
      <c r="G327" s="2"/>
      <c r="H327" s="2"/>
      <c r="I327" s="2"/>
      <c r="J327" s="2"/>
      <c r="K327" s="2"/>
    </row>
    <row r="328" spans="1:11">
      <c r="A328" s="2"/>
      <c r="B328" s="2"/>
      <c r="C328" s="2"/>
      <c r="D328" s="2"/>
      <c r="E328" s="2"/>
      <c r="F328" s="2"/>
      <c r="G328" s="2"/>
      <c r="H328" s="2"/>
      <c r="I328" s="2"/>
      <c r="J328" s="2"/>
      <c r="K328" s="2"/>
    </row>
    <row r="329" spans="1:11">
      <c r="A329" s="2"/>
      <c r="B329" s="2"/>
      <c r="C329" s="2"/>
      <c r="D329" s="2"/>
      <c r="E329" s="2"/>
      <c r="F329" s="2"/>
      <c r="G329" s="2"/>
      <c r="H329" s="2"/>
      <c r="I329" s="2"/>
      <c r="J329" s="2"/>
      <c r="K329" s="2"/>
    </row>
    <row r="330" spans="1:11">
      <c r="A330" s="2"/>
      <c r="B330" s="2"/>
      <c r="C330" s="2"/>
      <c r="D330" s="2"/>
      <c r="E330" s="2"/>
      <c r="F330" s="2"/>
      <c r="G330" s="2"/>
      <c r="H330" s="2"/>
      <c r="I330" s="2"/>
      <c r="J330" s="2"/>
      <c r="K330" s="2"/>
    </row>
    <row r="331" spans="1:11">
      <c r="A331" s="2"/>
      <c r="B331" s="2"/>
      <c r="C331" s="2"/>
      <c r="D331" s="2"/>
      <c r="E331" s="2"/>
      <c r="F331" s="2"/>
      <c r="G331" s="2"/>
      <c r="H331" s="2"/>
      <c r="I331" s="2"/>
      <c r="J331" s="2"/>
      <c r="K331" s="2"/>
    </row>
    <row r="332" spans="1:11">
      <c r="A332" s="2"/>
      <c r="B332" s="2"/>
      <c r="C332" s="2"/>
      <c r="D332" s="2"/>
      <c r="E332" s="2"/>
      <c r="F332" s="2"/>
      <c r="G332" s="2"/>
      <c r="H332" s="2"/>
      <c r="I332" s="2"/>
      <c r="J332" s="2"/>
      <c r="K332" s="2"/>
    </row>
    <row r="333" spans="1:11">
      <c r="A333" s="2"/>
      <c r="B333" s="2"/>
      <c r="C333" s="2"/>
      <c r="D333" s="2"/>
      <c r="E333" s="2"/>
      <c r="F333" s="2"/>
      <c r="G333" s="2"/>
      <c r="H333" s="2"/>
      <c r="I333" s="2"/>
      <c r="J333" s="2"/>
      <c r="K333" s="2"/>
    </row>
    <row r="334" spans="1:11">
      <c r="A334" s="2"/>
      <c r="B334" s="2"/>
      <c r="C334" s="2"/>
      <c r="D334" s="2"/>
      <c r="E334" s="2"/>
      <c r="F334" s="2"/>
      <c r="G334" s="2"/>
      <c r="H334" s="2"/>
      <c r="I334" s="2"/>
      <c r="J334" s="2"/>
      <c r="K334" s="2"/>
    </row>
    <row r="335" spans="1:11">
      <c r="A335" s="2"/>
      <c r="B335" s="2"/>
      <c r="C335" s="2"/>
      <c r="D335" s="2"/>
      <c r="E335" s="2"/>
      <c r="F335" s="2"/>
      <c r="G335" s="2"/>
      <c r="H335" s="2"/>
      <c r="I335" s="2"/>
      <c r="J335" s="2"/>
      <c r="K335" s="2"/>
    </row>
    <row r="336" spans="1:11">
      <c r="A336" s="2"/>
      <c r="B336" s="2"/>
      <c r="C336" s="2"/>
      <c r="D336" s="2"/>
      <c r="E336" s="2"/>
      <c r="F336" s="2"/>
      <c r="G336" s="2"/>
      <c r="H336" s="2"/>
      <c r="I336" s="2"/>
      <c r="J336" s="2"/>
      <c r="K336" s="2"/>
    </row>
    <row r="337" spans="1:11">
      <c r="A337" s="2"/>
      <c r="B337" s="2"/>
      <c r="C337" s="2"/>
      <c r="D337" s="2"/>
      <c r="E337" s="2"/>
      <c r="F337" s="2"/>
      <c r="G337" s="2"/>
      <c r="H337" s="2"/>
      <c r="I337" s="2"/>
      <c r="J337" s="2"/>
      <c r="K337" s="2"/>
    </row>
    <row r="338" spans="1:11">
      <c r="A338" s="2"/>
      <c r="B338" s="2"/>
      <c r="C338" s="2"/>
      <c r="D338" s="2"/>
      <c r="E338" s="2"/>
      <c r="F338" s="2"/>
      <c r="G338" s="2"/>
      <c r="H338" s="2"/>
      <c r="I338" s="2"/>
      <c r="J338" s="2"/>
      <c r="K338" s="2"/>
    </row>
    <row r="339" spans="1:11">
      <c r="A339" s="2"/>
      <c r="B339" s="2"/>
      <c r="C339" s="2"/>
      <c r="D339" s="2"/>
      <c r="E339" s="2"/>
      <c r="F339" s="2"/>
      <c r="G339" s="2"/>
      <c r="H339" s="2"/>
      <c r="I339" s="2"/>
      <c r="J339" s="2"/>
      <c r="K339" s="2"/>
    </row>
    <row r="340" spans="1:11">
      <c r="A340" s="2"/>
      <c r="B340" s="2"/>
      <c r="C340" s="2"/>
      <c r="D340" s="2"/>
      <c r="E340" s="2"/>
      <c r="F340" s="2"/>
      <c r="G340" s="2"/>
      <c r="H340" s="2"/>
      <c r="I340" s="2"/>
      <c r="J340" s="2"/>
      <c r="K340" s="2"/>
    </row>
    <row r="341" spans="1:11">
      <c r="A341" s="2"/>
      <c r="B341" s="2"/>
      <c r="C341" s="2"/>
      <c r="D341" s="2"/>
      <c r="E341" s="2"/>
      <c r="F341" s="2"/>
      <c r="G341" s="2"/>
      <c r="H341" s="2"/>
      <c r="I341" s="2"/>
      <c r="J341" s="2"/>
      <c r="K341" s="2"/>
    </row>
    <row r="342" spans="1:11">
      <c r="A342" s="2"/>
      <c r="B342" s="2"/>
      <c r="C342" s="2"/>
      <c r="D342" s="2"/>
      <c r="E342" s="2"/>
      <c r="F342" s="2"/>
      <c r="G342" s="2"/>
      <c r="H342" s="2"/>
      <c r="I342" s="2"/>
      <c r="J342" s="2"/>
      <c r="K342" s="2"/>
    </row>
    <row r="343" spans="1:11">
      <c r="A343" s="2"/>
      <c r="B343" s="2"/>
      <c r="C343" s="2"/>
      <c r="D343" s="2"/>
      <c r="E343" s="2"/>
      <c r="F343" s="2"/>
      <c r="G343" s="2"/>
      <c r="H343" s="2"/>
      <c r="I343" s="2"/>
      <c r="J343" s="2"/>
      <c r="K343" s="2"/>
    </row>
    <row r="344" spans="1:11">
      <c r="A344" s="2"/>
      <c r="B344" s="2"/>
      <c r="C344" s="2"/>
      <c r="D344" s="2"/>
      <c r="E344" s="2"/>
      <c r="F344" s="2"/>
      <c r="G344" s="2"/>
      <c r="H344" s="2"/>
      <c r="I344" s="2"/>
      <c r="J344" s="2"/>
      <c r="K344" s="2"/>
    </row>
    <row r="345" spans="1:11">
      <c r="A345" s="2"/>
      <c r="B345" s="2"/>
      <c r="C345" s="2"/>
      <c r="D345" s="2"/>
      <c r="E345" s="2"/>
      <c r="F345" s="2"/>
      <c r="G345" s="2"/>
      <c r="H345" s="2"/>
      <c r="I345" s="2"/>
      <c r="J345" s="2"/>
      <c r="K345" s="2"/>
    </row>
    <row r="346" spans="1:11">
      <c r="A346" s="2"/>
      <c r="B346" s="2"/>
      <c r="C346" s="2"/>
      <c r="D346" s="2"/>
      <c r="E346" s="2"/>
      <c r="F346" s="2"/>
      <c r="G346" s="2"/>
      <c r="H346" s="2"/>
      <c r="I346" s="2"/>
      <c r="J346" s="2"/>
      <c r="K346" s="2"/>
    </row>
    <row r="347" spans="1:11">
      <c r="A347" s="2"/>
      <c r="B347" s="2"/>
      <c r="C347" s="2"/>
      <c r="D347" s="2"/>
      <c r="E347" s="2"/>
      <c r="F347" s="2"/>
      <c r="G347" s="2"/>
      <c r="H347" s="2"/>
      <c r="I347" s="2"/>
      <c r="J347" s="2"/>
      <c r="K347" s="2"/>
    </row>
    <row r="348" spans="1:11">
      <c r="A348" s="2"/>
      <c r="B348" s="2"/>
      <c r="C348" s="2"/>
      <c r="D348" s="2"/>
      <c r="E348" s="2"/>
      <c r="F348" s="2"/>
      <c r="G348" s="2"/>
      <c r="H348" s="2"/>
      <c r="I348" s="2"/>
      <c r="J348" s="2"/>
      <c r="K348" s="2"/>
    </row>
    <row r="349" spans="1:11">
      <c r="A349" s="2"/>
      <c r="B349" s="2"/>
      <c r="C349" s="2"/>
      <c r="D349" s="2"/>
      <c r="E349" s="2"/>
      <c r="F349" s="2"/>
      <c r="G349" s="2"/>
      <c r="H349" s="2"/>
      <c r="I349" s="2"/>
      <c r="J349" s="2"/>
      <c r="K349" s="2"/>
    </row>
    <row r="350" spans="1:11">
      <c r="A350" s="2"/>
      <c r="B350" s="2"/>
      <c r="C350" s="2"/>
      <c r="D350" s="2"/>
      <c r="E350" s="2"/>
      <c r="F350" s="2"/>
      <c r="G350" s="2"/>
      <c r="H350" s="2"/>
      <c r="I350" s="2"/>
      <c r="J350" s="2"/>
      <c r="K350" s="2"/>
    </row>
    <row r="351" spans="1:11">
      <c r="A351" s="2"/>
      <c r="B351" s="2"/>
      <c r="C351" s="2"/>
      <c r="D351" s="2"/>
      <c r="E351" s="2"/>
      <c r="F351" s="2"/>
      <c r="G351" s="2"/>
      <c r="H351" s="2"/>
      <c r="I351" s="2"/>
      <c r="J351" s="2"/>
      <c r="K351" s="2"/>
    </row>
    <row r="352" spans="1:11">
      <c r="A352" s="2"/>
      <c r="B352" s="2"/>
      <c r="C352" s="2"/>
      <c r="D352" s="2"/>
      <c r="E352" s="2"/>
      <c r="F352" s="2"/>
      <c r="G352" s="2"/>
      <c r="H352" s="2"/>
      <c r="I352" s="2"/>
      <c r="J352" s="2"/>
      <c r="K352" s="2"/>
    </row>
    <row r="353" spans="1:11">
      <c r="A353" s="2"/>
      <c r="B353" s="2"/>
      <c r="C353" s="2"/>
      <c r="D353" s="2"/>
      <c r="E353" s="2"/>
      <c r="F353" s="2"/>
      <c r="G353" s="2"/>
      <c r="H353" s="2"/>
      <c r="I353" s="2"/>
      <c r="J353" s="2"/>
      <c r="K353" s="2"/>
    </row>
    <row r="354" spans="1:11">
      <c r="A354" s="2"/>
      <c r="B354" s="2"/>
      <c r="C354" s="2"/>
      <c r="D354" s="2"/>
      <c r="E354" s="2"/>
      <c r="F354" s="2"/>
      <c r="G354" s="2"/>
      <c r="H354" s="2"/>
      <c r="I354" s="2"/>
      <c r="J354" s="2"/>
      <c r="K354" s="2"/>
    </row>
    <row r="355" spans="1:11">
      <c r="A355" s="2"/>
      <c r="B355" s="2"/>
      <c r="C355" s="2"/>
      <c r="D355" s="2"/>
      <c r="E355" s="2"/>
      <c r="F355" s="2"/>
      <c r="G355" s="2"/>
      <c r="H355" s="2"/>
      <c r="I355" s="2"/>
      <c r="J355" s="2"/>
      <c r="K355" s="2"/>
    </row>
    <row r="356" spans="1:11">
      <c r="A356" s="2"/>
      <c r="B356" s="2"/>
      <c r="C356" s="2"/>
      <c r="D356" s="2"/>
      <c r="E356" s="2"/>
      <c r="F356" s="2"/>
      <c r="G356" s="2"/>
      <c r="H356" s="2"/>
      <c r="I356" s="2"/>
      <c r="J356" s="2"/>
      <c r="K356" s="2"/>
    </row>
    <row r="357" spans="1:11">
      <c r="A357" s="2"/>
      <c r="B357" s="2"/>
      <c r="C357" s="2"/>
      <c r="D357" s="2"/>
      <c r="E357" s="2"/>
      <c r="F357" s="2"/>
      <c r="G357" s="2"/>
      <c r="H357" s="2"/>
      <c r="I357" s="2"/>
      <c r="J357" s="2"/>
      <c r="K357" s="2"/>
    </row>
    <row r="358" spans="1:11">
      <c r="A358" s="2"/>
      <c r="B358" s="2"/>
      <c r="C358" s="2"/>
      <c r="D358" s="2"/>
      <c r="E358" s="2"/>
      <c r="F358" s="2"/>
      <c r="G358" s="2"/>
      <c r="H358" s="2"/>
      <c r="I358" s="2"/>
      <c r="J358" s="2"/>
      <c r="K358" s="2"/>
    </row>
    <row r="359" spans="1:11">
      <c r="A359" s="2"/>
      <c r="B359" s="2"/>
      <c r="C359" s="2"/>
      <c r="D359" s="2"/>
      <c r="E359" s="2"/>
      <c r="F359" s="2"/>
      <c r="G359" s="2"/>
      <c r="H359" s="2"/>
      <c r="I359" s="2"/>
      <c r="J359" s="2"/>
      <c r="K359" s="2"/>
    </row>
    <row r="360" spans="1:11">
      <c r="A360" s="2"/>
      <c r="B360" s="2"/>
      <c r="C360" s="2"/>
      <c r="D360" s="2"/>
      <c r="E360" s="2"/>
      <c r="F360" s="2"/>
      <c r="G360" s="2"/>
      <c r="H360" s="2"/>
      <c r="I360" s="2"/>
      <c r="J360" s="2"/>
      <c r="K360" s="2"/>
    </row>
    <row r="361" spans="1:11">
      <c r="A361" s="2"/>
      <c r="B361" s="2"/>
      <c r="C361" s="2"/>
      <c r="D361" s="2"/>
      <c r="E361" s="2"/>
      <c r="F361" s="2"/>
      <c r="G361" s="2"/>
      <c r="H361" s="2"/>
      <c r="I361" s="2"/>
      <c r="J361" s="2"/>
      <c r="K361" s="2"/>
    </row>
    <row r="362" spans="1:11">
      <c r="A362" s="2"/>
      <c r="B362" s="2"/>
      <c r="C362" s="2"/>
      <c r="D362" s="2"/>
      <c r="E362" s="2"/>
      <c r="F362" s="2"/>
      <c r="G362" s="2"/>
      <c r="H362" s="2"/>
      <c r="I362" s="2"/>
      <c r="J362" s="2"/>
      <c r="K362" s="2"/>
    </row>
    <row r="363" spans="1:11">
      <c r="A363" s="2"/>
      <c r="B363" s="2"/>
      <c r="C363" s="2"/>
      <c r="D363" s="2"/>
      <c r="E363" s="2"/>
      <c r="F363" s="2"/>
      <c r="G363" s="2"/>
      <c r="H363" s="2"/>
      <c r="I363" s="2"/>
      <c r="J363" s="2"/>
      <c r="K363" s="2"/>
    </row>
    <row r="364" spans="1:11">
      <c r="A364" s="2"/>
      <c r="B364" s="2"/>
      <c r="C364" s="2"/>
      <c r="D364" s="2"/>
      <c r="E364" s="2"/>
      <c r="F364" s="2"/>
      <c r="G364" s="2"/>
      <c r="H364" s="2"/>
      <c r="I364" s="2"/>
      <c r="J364" s="2"/>
      <c r="K364" s="2"/>
    </row>
    <row r="365" spans="1:11">
      <c r="A365" s="2"/>
      <c r="B365" s="2"/>
      <c r="C365" s="2"/>
      <c r="D365" s="2"/>
      <c r="E365" s="2"/>
      <c r="F365" s="2"/>
      <c r="G365" s="2"/>
      <c r="H365" s="2"/>
      <c r="I365" s="2"/>
      <c r="J365" s="2"/>
      <c r="K365" s="2"/>
    </row>
    <row r="366" spans="1:11">
      <c r="A366" s="2"/>
      <c r="B366" s="2"/>
      <c r="C366" s="2"/>
      <c r="D366" s="2"/>
      <c r="E366" s="2"/>
      <c r="F366" s="2"/>
      <c r="G366" s="2"/>
      <c r="H366" s="2"/>
      <c r="I366" s="2"/>
      <c r="J366" s="2"/>
      <c r="K366" s="2"/>
    </row>
    <row r="367" spans="1:11">
      <c r="A367" s="2"/>
      <c r="B367" s="2"/>
      <c r="C367" s="2"/>
      <c r="D367" s="2"/>
      <c r="E367" s="2"/>
      <c r="F367" s="2"/>
      <c r="G367" s="2"/>
      <c r="H367" s="2"/>
      <c r="I367" s="2"/>
      <c r="J367" s="2"/>
      <c r="K367" s="2"/>
    </row>
    <row r="368" spans="1:11">
      <c r="A368" s="2"/>
      <c r="B368" s="2"/>
      <c r="C368" s="2"/>
      <c r="D368" s="2"/>
      <c r="E368" s="2"/>
      <c r="F368" s="2"/>
      <c r="G368" s="2"/>
      <c r="H368" s="2"/>
      <c r="I368" s="2"/>
      <c r="J368" s="2"/>
      <c r="K368" s="2"/>
    </row>
    <row r="369" spans="1:11">
      <c r="A369" s="2"/>
      <c r="B369" s="2"/>
      <c r="C369" s="2"/>
      <c r="D369" s="2"/>
      <c r="E369" s="2"/>
      <c r="F369" s="2"/>
      <c r="G369" s="2"/>
      <c r="H369" s="2"/>
      <c r="I369" s="2"/>
      <c r="J369" s="2"/>
      <c r="K369" s="2"/>
    </row>
    <row r="370" spans="1:11">
      <c r="A370" s="2"/>
      <c r="B370" s="2"/>
      <c r="C370" s="2"/>
      <c r="D370" s="2"/>
      <c r="E370" s="2"/>
      <c r="F370" s="2"/>
      <c r="G370" s="2"/>
      <c r="H370" s="2"/>
      <c r="I370" s="2"/>
      <c r="J370" s="2"/>
      <c r="K370" s="2"/>
    </row>
    <row r="371" spans="1:11">
      <c r="A371" s="2"/>
      <c r="B371" s="2"/>
      <c r="C371" s="2"/>
      <c r="D371" s="2"/>
      <c r="E371" s="2"/>
      <c r="F371" s="2"/>
      <c r="G371" s="2"/>
      <c r="H371" s="2"/>
      <c r="I371" s="2"/>
      <c r="J371" s="2"/>
      <c r="K371" s="2"/>
    </row>
    <row r="372" spans="1:11">
      <c r="A372" s="2"/>
      <c r="B372" s="2"/>
      <c r="C372" s="2"/>
      <c r="D372" s="2"/>
      <c r="E372" s="2"/>
      <c r="F372" s="2"/>
      <c r="G372" s="2"/>
      <c r="H372" s="2"/>
      <c r="I372" s="2"/>
      <c r="J372" s="2"/>
      <c r="K372" s="2"/>
    </row>
    <row r="373" spans="1:11">
      <c r="A373" s="2"/>
      <c r="B373" s="2"/>
      <c r="C373" s="2"/>
      <c r="D373" s="2"/>
      <c r="E373" s="2"/>
      <c r="F373" s="2"/>
      <c r="G373" s="2"/>
      <c r="H373" s="2"/>
      <c r="I373" s="2"/>
      <c r="J373" s="2"/>
      <c r="K373" s="2"/>
    </row>
    <row r="374" spans="1:11">
      <c r="A374" s="2"/>
      <c r="B374" s="2"/>
      <c r="C374" s="2"/>
      <c r="D374" s="2"/>
      <c r="E374" s="2"/>
      <c r="F374" s="2"/>
      <c r="G374" s="2"/>
      <c r="H374" s="2"/>
      <c r="I374" s="2"/>
      <c r="J374" s="2"/>
      <c r="K374" s="2"/>
    </row>
    <row r="375" spans="1:11">
      <c r="A375" s="2"/>
      <c r="B375" s="2"/>
      <c r="C375" s="2"/>
      <c r="D375" s="2"/>
      <c r="E375" s="2"/>
      <c r="F375" s="2"/>
      <c r="G375" s="2"/>
      <c r="H375" s="2"/>
      <c r="I375" s="2"/>
      <c r="J375" s="2"/>
      <c r="K375" s="2"/>
    </row>
    <row r="376" spans="1:11">
      <c r="A376" s="2"/>
      <c r="B376" s="2"/>
      <c r="C376" s="2"/>
      <c r="D376" s="2"/>
      <c r="E376" s="2"/>
      <c r="F376" s="2"/>
      <c r="G376" s="2"/>
      <c r="H376" s="2"/>
      <c r="I376" s="2"/>
      <c r="J376" s="2"/>
      <c r="K376" s="2"/>
    </row>
    <row r="377" spans="1:11">
      <c r="A377" s="2"/>
      <c r="B377" s="2"/>
      <c r="C377" s="2"/>
      <c r="D377" s="2"/>
      <c r="E377" s="2"/>
      <c r="F377" s="2"/>
      <c r="G377" s="2"/>
      <c r="H377" s="2"/>
      <c r="I377" s="2"/>
      <c r="J377" s="76"/>
      <c r="K377" s="76"/>
    </row>
    <row r="378" spans="1:11">
      <c r="A378" s="2"/>
      <c r="B378" s="2"/>
      <c r="C378" s="2"/>
      <c r="D378" s="2"/>
      <c r="E378" s="2"/>
      <c r="F378" s="2"/>
      <c r="G378" s="2"/>
      <c r="H378" s="2"/>
      <c r="I378" s="2"/>
      <c r="J378" s="76"/>
      <c r="K378" s="76"/>
    </row>
    <row r="379" spans="1:11">
      <c r="A379" s="2"/>
      <c r="B379" s="2"/>
      <c r="C379" s="2"/>
      <c r="D379" s="2"/>
      <c r="E379" s="2"/>
      <c r="F379" s="2"/>
      <c r="G379" s="2"/>
      <c r="H379" s="2"/>
      <c r="I379" s="2"/>
      <c r="J379" s="76"/>
      <c r="K379" s="76"/>
    </row>
  </sheetData>
  <mergeCells count="1">
    <mergeCell ref="C2:E2"/>
  </mergeCells>
  <conditionalFormatting sqref="J6">
    <cfRule type="cellIs" dxfId="0" priority="5" operator="equal">
      <formula>105243</formula>
    </cfRule>
  </conditionalFormatting>
  <pageMargins left="0.7" right="0.7" top="0.75" bottom="0.75" header="0.3" footer="0.3"/>
  <pageSetup scale="77" fitToHeight="0" orientation="landscape" horizontalDpi="4294967292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27EA9-BA92-41F1-ACD6-ECE2BF3467EB}">
  <dimension ref="A1:J35"/>
  <sheetViews>
    <sheetView topLeftCell="B15" zoomScale="68" workbookViewId="0">
      <selection activeCell="I35" sqref="I35"/>
    </sheetView>
  </sheetViews>
  <sheetFormatPr defaultColWidth="11.5546875" defaultRowHeight="15"/>
  <cols>
    <col min="1" max="1" width="23.109375" bestFit="1" customWidth="1"/>
    <col min="2" max="2" width="16.6640625" bestFit="1" customWidth="1"/>
    <col min="3" max="3" width="18" customWidth="1"/>
    <col min="4" max="4" width="12.5546875" bestFit="1" customWidth="1"/>
    <col min="5" max="5" width="15.109375" customWidth="1"/>
    <col min="6" max="6" width="14" customWidth="1"/>
    <col min="7" max="7" width="30.44140625" customWidth="1"/>
    <col min="8" max="8" width="15.6640625" customWidth="1"/>
    <col min="9" max="9" width="13.6640625" customWidth="1"/>
    <col min="10" max="10" width="27.6640625" customWidth="1"/>
  </cols>
  <sheetData>
    <row r="1" spans="1:10" ht="21">
      <c r="A1" s="236" t="s">
        <v>122</v>
      </c>
      <c r="B1" s="236"/>
      <c r="C1" s="236"/>
      <c r="D1" s="236"/>
      <c r="E1" s="236"/>
      <c r="F1" s="236"/>
      <c r="G1" s="236"/>
      <c r="H1" s="236"/>
      <c r="I1" s="236"/>
      <c r="J1" s="76"/>
    </row>
    <row r="2" spans="1:10">
      <c r="A2" s="76"/>
      <c r="B2" s="76"/>
      <c r="C2" s="76"/>
      <c r="D2" s="76"/>
      <c r="E2" s="76"/>
      <c r="F2" s="76"/>
      <c r="G2" s="76"/>
      <c r="H2" s="76"/>
      <c r="I2" s="76"/>
      <c r="J2" s="76"/>
    </row>
    <row r="3" spans="1:10">
      <c r="A3" s="73" t="s">
        <v>123</v>
      </c>
      <c r="B3" s="77"/>
      <c r="C3" s="100"/>
      <c r="D3" s="100"/>
      <c r="E3" s="100"/>
      <c r="F3" s="100"/>
      <c r="G3" s="100"/>
      <c r="H3" s="100"/>
      <c r="I3" s="76"/>
      <c r="J3" s="76"/>
    </row>
    <row r="4" spans="1:10" ht="30">
      <c r="A4" s="74" t="s">
        <v>124</v>
      </c>
      <c r="B4" s="78" t="s">
        <v>125</v>
      </c>
      <c r="C4" s="78" t="s">
        <v>126</v>
      </c>
      <c r="D4" s="78" t="s">
        <v>127</v>
      </c>
      <c r="E4" s="78" t="s">
        <v>128</v>
      </c>
      <c r="F4" s="78" t="s">
        <v>129</v>
      </c>
      <c r="G4" s="78" t="s">
        <v>130</v>
      </c>
      <c r="H4" s="78" t="s">
        <v>131</v>
      </c>
      <c r="I4" s="74" t="s">
        <v>132</v>
      </c>
      <c r="J4" s="79" t="s">
        <v>133</v>
      </c>
    </row>
    <row r="5" spans="1:10" ht="15.75">
      <c r="A5" s="240" t="s">
        <v>134</v>
      </c>
      <c r="B5" s="237" t="s">
        <v>66</v>
      </c>
      <c r="C5" s="238"/>
      <c r="D5" s="238"/>
      <c r="E5" s="238"/>
      <c r="F5" s="238"/>
      <c r="G5" s="238"/>
      <c r="H5" s="239"/>
      <c r="I5" s="75">
        <f>SUM(I6:I9)</f>
        <v>1080</v>
      </c>
      <c r="J5" s="80">
        <f>I5/12</f>
        <v>90</v>
      </c>
    </row>
    <row r="6" spans="1:10">
      <c r="A6" s="240"/>
      <c r="B6" s="81" t="s">
        <v>135</v>
      </c>
      <c r="C6" s="81">
        <v>10</v>
      </c>
      <c r="D6" s="81">
        <v>10</v>
      </c>
      <c r="E6" s="81">
        <v>800</v>
      </c>
      <c r="F6" s="81">
        <f>E6/D6</f>
        <v>80</v>
      </c>
      <c r="G6" s="81">
        <f>(E6-F6)/D6</f>
        <v>72</v>
      </c>
      <c r="H6" s="81">
        <v>6</v>
      </c>
      <c r="I6" s="82">
        <f>G6*H6</f>
        <v>432</v>
      </c>
      <c r="J6" s="83"/>
    </row>
    <row r="7" spans="1:10">
      <c r="A7" s="240"/>
      <c r="B7" s="81" t="s">
        <v>136</v>
      </c>
      <c r="C7" s="81">
        <v>10</v>
      </c>
      <c r="D7" s="81">
        <v>10</v>
      </c>
      <c r="E7" s="81">
        <v>1200</v>
      </c>
      <c r="F7" s="81">
        <f>E7/D7</f>
        <v>120</v>
      </c>
      <c r="G7" s="81">
        <f>(E7-F7)/D7</f>
        <v>108</v>
      </c>
      <c r="H7" s="81">
        <v>6</v>
      </c>
      <c r="I7" s="82">
        <f>G7*H7</f>
        <v>648</v>
      </c>
      <c r="J7" s="83"/>
    </row>
    <row r="8" spans="1:10">
      <c r="A8" s="240"/>
      <c r="B8" s="81" t="s">
        <v>137</v>
      </c>
      <c r="C8" s="81">
        <v>10</v>
      </c>
      <c r="D8" s="81">
        <v>10</v>
      </c>
      <c r="E8" s="81">
        <v>1500</v>
      </c>
      <c r="F8" s="81">
        <f>E8/D8</f>
        <v>150</v>
      </c>
      <c r="G8" s="81">
        <f>(E8-F8)/D8</f>
        <v>135</v>
      </c>
      <c r="H8" s="81">
        <v>0</v>
      </c>
      <c r="I8" s="82">
        <f>G8*H8</f>
        <v>0</v>
      </c>
      <c r="J8" s="83"/>
    </row>
    <row r="9" spans="1:10">
      <c r="A9" s="240"/>
      <c r="B9" s="84" t="s">
        <v>138</v>
      </c>
      <c r="C9" s="85">
        <v>10</v>
      </c>
      <c r="D9" s="81">
        <v>10</v>
      </c>
      <c r="E9" s="81">
        <v>2100</v>
      </c>
      <c r="F9" s="82">
        <f>E9/D9</f>
        <v>210</v>
      </c>
      <c r="G9" s="82">
        <f>(E9-F9)/D9</f>
        <v>189</v>
      </c>
      <c r="H9" s="81">
        <v>0</v>
      </c>
      <c r="I9" s="82">
        <f>G9*H9</f>
        <v>0</v>
      </c>
      <c r="J9" s="83"/>
    </row>
    <row r="10" spans="1:10" ht="15.75">
      <c r="A10" s="240"/>
      <c r="B10" s="231" t="s">
        <v>71</v>
      </c>
      <c r="C10" s="232"/>
      <c r="D10" s="232"/>
      <c r="E10" s="232"/>
      <c r="F10" s="232"/>
      <c r="G10" s="232"/>
      <c r="H10" s="233"/>
      <c r="I10" s="86">
        <f>SUM(I11:I13)</f>
        <v>25555.555555555555</v>
      </c>
      <c r="J10" s="80">
        <f>I10/12</f>
        <v>2129.6296296296296</v>
      </c>
    </row>
    <row r="11" spans="1:10">
      <c r="A11" s="240"/>
      <c r="B11" s="81" t="s">
        <v>139</v>
      </c>
      <c r="C11" s="81">
        <v>30</v>
      </c>
      <c r="D11" s="81">
        <v>3</v>
      </c>
      <c r="E11" s="81">
        <v>15000</v>
      </c>
      <c r="F11" s="87">
        <f>E11/D11</f>
        <v>5000</v>
      </c>
      <c r="G11" s="87">
        <f>(E11-F11)/D11</f>
        <v>3333.3333333333335</v>
      </c>
      <c r="H11" s="81">
        <v>6</v>
      </c>
      <c r="I11" s="82">
        <f>G11*H11</f>
        <v>20000</v>
      </c>
      <c r="J11" s="83"/>
    </row>
    <row r="12" spans="1:10">
      <c r="A12" s="240"/>
      <c r="B12" s="81" t="s">
        <v>140</v>
      </c>
      <c r="C12" s="81">
        <v>30</v>
      </c>
      <c r="D12" s="81">
        <v>3</v>
      </c>
      <c r="E12" s="81">
        <v>5000</v>
      </c>
      <c r="F12" s="88">
        <f>E12/D12</f>
        <v>1666.6666666666667</v>
      </c>
      <c r="G12" s="88">
        <f>(E12-F12)/D12</f>
        <v>1111.1111111111111</v>
      </c>
      <c r="H12" s="81">
        <v>0</v>
      </c>
      <c r="I12" s="82">
        <f>G12*H12</f>
        <v>0</v>
      </c>
      <c r="J12" s="83"/>
    </row>
    <row r="13" spans="1:10">
      <c r="A13" s="240"/>
      <c r="B13" s="89" t="s">
        <v>141</v>
      </c>
      <c r="C13" s="81">
        <v>30</v>
      </c>
      <c r="D13" s="81">
        <v>3</v>
      </c>
      <c r="E13" s="81">
        <v>25000</v>
      </c>
      <c r="F13" s="87">
        <f>E13/D13</f>
        <v>8333.3333333333339</v>
      </c>
      <c r="G13" s="87">
        <f>(E13-F13)/D13</f>
        <v>5555.5555555555547</v>
      </c>
      <c r="H13" s="81">
        <v>1</v>
      </c>
      <c r="I13" s="88">
        <f>G13*H13</f>
        <v>5555.5555555555547</v>
      </c>
      <c r="J13" s="83"/>
    </row>
    <row r="14" spans="1:10" ht="15.75">
      <c r="A14" s="90"/>
      <c r="B14" s="234" t="s">
        <v>142</v>
      </c>
      <c r="C14" s="234"/>
      <c r="D14" s="234"/>
      <c r="E14" s="234"/>
      <c r="F14" s="234"/>
      <c r="G14" s="234"/>
      <c r="H14" s="234"/>
      <c r="I14" s="91">
        <f>I10+I5</f>
        <v>26635.555555555555</v>
      </c>
      <c r="J14" s="92">
        <f>I14/12</f>
        <v>2219.6296296296296</v>
      </c>
    </row>
    <row r="15" spans="1:10" ht="15.75">
      <c r="A15" s="240" t="s">
        <v>143</v>
      </c>
      <c r="B15" s="237" t="s">
        <v>66</v>
      </c>
      <c r="C15" s="238"/>
      <c r="D15" s="238"/>
      <c r="E15" s="238"/>
      <c r="F15" s="238"/>
      <c r="G15" s="238"/>
      <c r="H15" s="239"/>
      <c r="I15" s="75">
        <f>SUM(I16:I19)</f>
        <v>360</v>
      </c>
      <c r="J15" s="80">
        <f>I15/12</f>
        <v>30</v>
      </c>
    </row>
    <row r="16" spans="1:10">
      <c r="A16" s="240"/>
      <c r="B16" s="81" t="s">
        <v>135</v>
      </c>
      <c r="C16" s="81">
        <v>10</v>
      </c>
      <c r="D16" s="81">
        <v>10</v>
      </c>
      <c r="E16" s="81">
        <v>800</v>
      </c>
      <c r="F16" s="81">
        <f>E16/D16</f>
        <v>80</v>
      </c>
      <c r="G16" s="81">
        <f>(E16-F16)/D16</f>
        <v>72</v>
      </c>
      <c r="H16" s="81">
        <v>2</v>
      </c>
      <c r="I16" s="82">
        <f>G16*H16</f>
        <v>144</v>
      </c>
      <c r="J16" s="83"/>
    </row>
    <row r="17" spans="1:10">
      <c r="A17" s="240"/>
      <c r="B17" s="81" t="s">
        <v>136</v>
      </c>
      <c r="C17" s="81">
        <v>10</v>
      </c>
      <c r="D17" s="81">
        <v>10</v>
      </c>
      <c r="E17" s="81">
        <v>1200</v>
      </c>
      <c r="F17" s="81">
        <f>E17/D17</f>
        <v>120</v>
      </c>
      <c r="G17" s="81">
        <f>(E17-F17)/D17</f>
        <v>108</v>
      </c>
      <c r="H17" s="81">
        <v>2</v>
      </c>
      <c r="I17" s="82">
        <f>G17*H17</f>
        <v>216</v>
      </c>
      <c r="J17" s="83"/>
    </row>
    <row r="18" spans="1:10">
      <c r="A18" s="240"/>
      <c r="B18" s="81" t="s">
        <v>137</v>
      </c>
      <c r="C18" s="81">
        <v>10</v>
      </c>
      <c r="D18" s="81">
        <v>10</v>
      </c>
      <c r="E18" s="81">
        <v>1500</v>
      </c>
      <c r="F18" s="81">
        <f>E18/D18</f>
        <v>150</v>
      </c>
      <c r="G18" s="81">
        <f>(E18-F18)/D18</f>
        <v>135</v>
      </c>
      <c r="H18" s="81">
        <v>0</v>
      </c>
      <c r="I18" s="82">
        <f>G18*H18</f>
        <v>0</v>
      </c>
      <c r="J18" s="83"/>
    </row>
    <row r="19" spans="1:10">
      <c r="A19" s="240"/>
      <c r="B19" s="84" t="s">
        <v>138</v>
      </c>
      <c r="C19" s="85">
        <v>10</v>
      </c>
      <c r="D19" s="81">
        <v>10</v>
      </c>
      <c r="E19" s="82">
        <v>2100</v>
      </c>
      <c r="F19" s="82">
        <f>E19/D19</f>
        <v>210</v>
      </c>
      <c r="G19" s="82">
        <f>(E19-F19)/D19</f>
        <v>189</v>
      </c>
      <c r="H19" s="81">
        <v>0</v>
      </c>
      <c r="I19" s="82">
        <f>G19*H19</f>
        <v>0</v>
      </c>
      <c r="J19" s="83"/>
    </row>
    <row r="20" spans="1:10" ht="15.75">
      <c r="A20" s="240"/>
      <c r="B20" s="231" t="s">
        <v>71</v>
      </c>
      <c r="C20" s="232"/>
      <c r="D20" s="232"/>
      <c r="E20" s="232"/>
      <c r="F20" s="232"/>
      <c r="G20" s="232"/>
      <c r="H20" s="233"/>
      <c r="I20" s="86">
        <f>SUM(I21:I23)</f>
        <v>6562.5</v>
      </c>
      <c r="J20" s="80">
        <f>I20/12</f>
        <v>546.875</v>
      </c>
    </row>
    <row r="21" spans="1:10">
      <c r="A21" s="240"/>
      <c r="B21" s="81" t="s">
        <v>139</v>
      </c>
      <c r="C21" s="81">
        <v>30</v>
      </c>
      <c r="D21" s="81">
        <v>4</v>
      </c>
      <c r="E21" s="81">
        <v>15000</v>
      </c>
      <c r="F21" s="88">
        <f>E21/D21</f>
        <v>3750</v>
      </c>
      <c r="G21" s="88">
        <f>(E21-F21)/D21</f>
        <v>2812.5</v>
      </c>
      <c r="H21" s="81">
        <v>2</v>
      </c>
      <c r="I21" s="88">
        <f>G21*H21</f>
        <v>5625</v>
      </c>
      <c r="J21" s="83"/>
    </row>
    <row r="22" spans="1:10">
      <c r="A22" s="240"/>
      <c r="B22" s="81" t="s">
        <v>140</v>
      </c>
      <c r="C22" s="81">
        <v>30</v>
      </c>
      <c r="D22" s="81">
        <v>4</v>
      </c>
      <c r="E22" s="81">
        <v>5000</v>
      </c>
      <c r="F22" s="88">
        <f>E22/D22</f>
        <v>1250</v>
      </c>
      <c r="G22" s="88">
        <f>(E22-F22)/D22</f>
        <v>937.5</v>
      </c>
      <c r="H22" s="81">
        <v>1</v>
      </c>
      <c r="I22" s="88">
        <f>G22*H22</f>
        <v>937.5</v>
      </c>
      <c r="J22" s="83"/>
    </row>
    <row r="23" spans="1:10">
      <c r="A23" s="240"/>
      <c r="B23" s="89" t="s">
        <v>141</v>
      </c>
      <c r="C23" s="81">
        <v>30</v>
      </c>
      <c r="D23" s="81">
        <v>4</v>
      </c>
      <c r="E23" s="81">
        <v>25000</v>
      </c>
      <c r="F23" s="88">
        <f>E23/D23</f>
        <v>6250</v>
      </c>
      <c r="G23" s="88">
        <f>(E23-F23)/D23</f>
        <v>4687.5</v>
      </c>
      <c r="H23" s="81">
        <v>0</v>
      </c>
      <c r="I23" s="93">
        <f>G23*H23</f>
        <v>0</v>
      </c>
      <c r="J23" s="83"/>
    </row>
    <row r="24" spans="1:10" ht="15.75">
      <c r="A24" s="90"/>
      <c r="B24" s="234" t="s">
        <v>144</v>
      </c>
      <c r="C24" s="234"/>
      <c r="D24" s="234"/>
      <c r="E24" s="234"/>
      <c r="F24" s="234"/>
      <c r="G24" s="234"/>
      <c r="H24" s="234"/>
      <c r="I24" s="94">
        <f>I20+I15</f>
        <v>6922.5</v>
      </c>
      <c r="J24" s="92">
        <f>I24/12</f>
        <v>576.875</v>
      </c>
    </row>
    <row r="25" spans="1:10" ht="15.75">
      <c r="A25" s="240" t="s">
        <v>145</v>
      </c>
      <c r="B25" s="237" t="s">
        <v>66</v>
      </c>
      <c r="C25" s="238"/>
      <c r="D25" s="238"/>
      <c r="E25" s="238"/>
      <c r="F25" s="238"/>
      <c r="G25" s="238"/>
      <c r="H25" s="239"/>
      <c r="I25" s="75">
        <f>+I26+I27+I28+I29</f>
        <v>1224</v>
      </c>
      <c r="J25" s="80">
        <f>I25/12</f>
        <v>102</v>
      </c>
    </row>
    <row r="26" spans="1:10">
      <c r="A26" s="240"/>
      <c r="B26" s="81" t="s">
        <v>135</v>
      </c>
      <c r="C26" s="81">
        <v>10</v>
      </c>
      <c r="D26" s="81">
        <v>10</v>
      </c>
      <c r="E26" s="81">
        <v>800</v>
      </c>
      <c r="F26" s="81">
        <f>E26/D26</f>
        <v>80</v>
      </c>
      <c r="G26" s="81">
        <f>(E26-F26)/D26</f>
        <v>72</v>
      </c>
      <c r="H26" s="81">
        <v>5</v>
      </c>
      <c r="I26" s="82">
        <f>G26*H26</f>
        <v>360</v>
      </c>
      <c r="J26" s="83"/>
    </row>
    <row r="27" spans="1:10">
      <c r="A27" s="240"/>
      <c r="B27" s="81" t="s">
        <v>136</v>
      </c>
      <c r="C27" s="81">
        <v>10</v>
      </c>
      <c r="D27" s="81">
        <v>10</v>
      </c>
      <c r="E27" s="81">
        <v>1200</v>
      </c>
      <c r="F27" s="81">
        <f>E27/D27</f>
        <v>120</v>
      </c>
      <c r="G27" s="81">
        <f>(E27-F27)/D27</f>
        <v>108</v>
      </c>
      <c r="H27" s="81">
        <v>5</v>
      </c>
      <c r="I27" s="82">
        <f>G27*H27</f>
        <v>540</v>
      </c>
      <c r="J27" s="83"/>
    </row>
    <row r="28" spans="1:10">
      <c r="A28" s="240"/>
      <c r="B28" s="81" t="s">
        <v>137</v>
      </c>
      <c r="C28" s="81">
        <v>10</v>
      </c>
      <c r="D28" s="81">
        <v>10</v>
      </c>
      <c r="E28" s="81">
        <v>1500</v>
      </c>
      <c r="F28" s="81">
        <f>E28/D28</f>
        <v>150</v>
      </c>
      <c r="G28" s="81">
        <f>(E28-F28)/D28</f>
        <v>135</v>
      </c>
      <c r="H28" s="81">
        <v>1</v>
      </c>
      <c r="I28" s="82">
        <f>G28*H28</f>
        <v>135</v>
      </c>
      <c r="J28" s="83"/>
    </row>
    <row r="29" spans="1:10">
      <c r="A29" s="240"/>
      <c r="B29" s="84" t="s">
        <v>138</v>
      </c>
      <c r="C29" s="85">
        <v>10</v>
      </c>
      <c r="D29" s="81">
        <v>10</v>
      </c>
      <c r="E29" s="82">
        <v>2100</v>
      </c>
      <c r="F29" s="82">
        <f>E29/D29</f>
        <v>210</v>
      </c>
      <c r="G29" s="82">
        <f>(E29-F29)/D29</f>
        <v>189</v>
      </c>
      <c r="H29" s="81">
        <v>1</v>
      </c>
      <c r="I29" s="82">
        <f>G29*H29</f>
        <v>189</v>
      </c>
      <c r="J29" s="83"/>
    </row>
    <row r="30" spans="1:10" ht="15.75">
      <c r="A30" s="240"/>
      <c r="B30" s="231" t="s">
        <v>71</v>
      </c>
      <c r="C30" s="232"/>
      <c r="D30" s="232"/>
      <c r="E30" s="232"/>
      <c r="F30" s="232"/>
      <c r="G30" s="232"/>
      <c r="H30" s="233"/>
      <c r="I30" s="86">
        <f>+I31+I32+I33</f>
        <v>15173.611111111111</v>
      </c>
      <c r="J30" s="80">
        <f>I30/12</f>
        <v>1264.4675925925926</v>
      </c>
    </row>
    <row r="31" spans="1:10">
      <c r="A31" s="240"/>
      <c r="B31" s="81" t="s">
        <v>139</v>
      </c>
      <c r="C31" s="81">
        <v>30</v>
      </c>
      <c r="D31" s="81">
        <v>4</v>
      </c>
      <c r="E31" s="81">
        <v>15000</v>
      </c>
      <c r="F31" s="88">
        <f>E31/D31</f>
        <v>3750</v>
      </c>
      <c r="G31" s="88">
        <f>(E31-F31)/D31</f>
        <v>2812.5</v>
      </c>
      <c r="H31" s="81">
        <v>5</v>
      </c>
      <c r="I31" s="88">
        <f>G31*H31</f>
        <v>14062.5</v>
      </c>
      <c r="J31" s="83"/>
    </row>
    <row r="32" spans="1:10">
      <c r="A32" s="240"/>
      <c r="B32" s="81" t="s">
        <v>140</v>
      </c>
      <c r="C32" s="81">
        <v>30</v>
      </c>
      <c r="D32" s="81">
        <v>3</v>
      </c>
      <c r="E32" s="81">
        <v>5000</v>
      </c>
      <c r="F32" s="88">
        <f>E32/D32</f>
        <v>1666.6666666666667</v>
      </c>
      <c r="G32" s="88">
        <f>(E32-F32)/D32</f>
        <v>1111.1111111111111</v>
      </c>
      <c r="H32" s="81">
        <v>1</v>
      </c>
      <c r="I32" s="88">
        <f>G32*H32</f>
        <v>1111.1111111111111</v>
      </c>
      <c r="J32" s="83"/>
    </row>
    <row r="33" spans="1:10">
      <c r="A33" s="240"/>
      <c r="B33" s="89" t="s">
        <v>141</v>
      </c>
      <c r="C33" s="81">
        <v>30</v>
      </c>
      <c r="D33" s="81">
        <v>3</v>
      </c>
      <c r="E33" s="81">
        <v>25000</v>
      </c>
      <c r="F33" s="88">
        <f>E33/D33</f>
        <v>8333.3333333333339</v>
      </c>
      <c r="G33" s="88">
        <f>(E33-F33)/D33</f>
        <v>5555.5555555555547</v>
      </c>
      <c r="H33" s="81">
        <v>0</v>
      </c>
      <c r="I33" s="88">
        <f>G33*H33</f>
        <v>0</v>
      </c>
      <c r="J33" s="83"/>
    </row>
    <row r="34" spans="1:10" ht="15.75">
      <c r="A34" s="90"/>
      <c r="B34" s="234" t="s">
        <v>146</v>
      </c>
      <c r="C34" s="234"/>
      <c r="D34" s="234"/>
      <c r="E34" s="234"/>
      <c r="F34" s="234"/>
      <c r="G34" s="234"/>
      <c r="H34" s="234"/>
      <c r="I34" s="95">
        <f>I30+I25</f>
        <v>16397.611111111109</v>
      </c>
      <c r="J34" s="96">
        <f>I34/12</f>
        <v>1366.4675925925924</v>
      </c>
    </row>
    <row r="35" spans="1:10" ht="15.75">
      <c r="A35" s="73" t="s">
        <v>147</v>
      </c>
      <c r="B35" s="77" t="s">
        <v>148</v>
      </c>
      <c r="C35" s="77"/>
      <c r="D35" s="77"/>
      <c r="E35" s="77"/>
      <c r="F35" s="235" t="s">
        <v>149</v>
      </c>
      <c r="G35" s="235"/>
      <c r="H35" s="235"/>
      <c r="I35" s="97">
        <f>I34+I24+I14</f>
        <v>49955.666666666664</v>
      </c>
      <c r="J35" s="98">
        <f>I35/12</f>
        <v>4162.9722222222217</v>
      </c>
    </row>
  </sheetData>
  <mergeCells count="14">
    <mergeCell ref="B30:H30"/>
    <mergeCell ref="B34:H34"/>
    <mergeCell ref="F35:H35"/>
    <mergeCell ref="A1:I1"/>
    <mergeCell ref="B5:H5"/>
    <mergeCell ref="B14:H14"/>
    <mergeCell ref="A5:A13"/>
    <mergeCell ref="B10:H10"/>
    <mergeCell ref="A15:A23"/>
    <mergeCell ref="B15:H15"/>
    <mergeCell ref="B20:H20"/>
    <mergeCell ref="A25:A33"/>
    <mergeCell ref="B24:H24"/>
    <mergeCell ref="B25:H2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261069-3D6B-4E89-A671-66DA2DAEBA3E}">
  <dimension ref="B1:Q7"/>
  <sheetViews>
    <sheetView workbookViewId="0">
      <selection activeCell="E4" sqref="E4"/>
    </sheetView>
  </sheetViews>
  <sheetFormatPr defaultColWidth="11.5546875" defaultRowHeight="15"/>
  <cols>
    <col min="2" max="2" width="15.77734375" customWidth="1"/>
    <col min="3" max="4" width="11.6640625" customWidth="1"/>
    <col min="5" max="5" width="14.21875" customWidth="1"/>
    <col min="6" max="7" width="11.6640625" style="76" customWidth="1"/>
    <col min="8" max="8" width="13.5546875" style="76" customWidth="1"/>
    <col min="9" max="10" width="11.6640625" style="76" customWidth="1"/>
    <col min="11" max="11" width="13.21875" style="76" customWidth="1"/>
    <col min="12" max="13" width="11.6640625" style="76" customWidth="1"/>
    <col min="14" max="14" width="14.21875" style="76" customWidth="1"/>
    <col min="15" max="16" width="11.6640625" style="76" customWidth="1"/>
    <col min="17" max="17" width="13.77734375" style="76" customWidth="1"/>
  </cols>
  <sheetData>
    <row r="1" spans="2:17" ht="15.75" thickBot="1">
      <c r="B1" s="76"/>
      <c r="C1" s="76"/>
      <c r="D1" s="76"/>
      <c r="E1" s="76"/>
    </row>
    <row r="2" spans="2:17" ht="16.5" customHeight="1" thickBot="1">
      <c r="B2" s="243" t="s">
        <v>150</v>
      </c>
      <c r="C2" s="241">
        <v>2020</v>
      </c>
      <c r="D2" s="242"/>
      <c r="E2" s="242"/>
      <c r="F2" s="241">
        <v>2021</v>
      </c>
      <c r="G2" s="242"/>
      <c r="H2" s="242"/>
      <c r="I2" s="241">
        <v>2022</v>
      </c>
      <c r="J2" s="242"/>
      <c r="K2" s="242"/>
      <c r="L2" s="241">
        <v>2023</v>
      </c>
      <c r="M2" s="242"/>
      <c r="N2" s="242"/>
      <c r="O2" s="241">
        <v>2024</v>
      </c>
      <c r="P2" s="242"/>
      <c r="Q2" s="242"/>
    </row>
    <row r="3" spans="2:17" ht="16.5" thickTop="1" thickBot="1">
      <c r="B3" s="244"/>
      <c r="C3" s="134" t="s">
        <v>151</v>
      </c>
      <c r="D3" s="135" t="s">
        <v>152</v>
      </c>
      <c r="E3" s="135" t="s">
        <v>153</v>
      </c>
      <c r="F3" s="134" t="s">
        <v>151</v>
      </c>
      <c r="G3" s="135" t="s">
        <v>152</v>
      </c>
      <c r="H3" s="135" t="s">
        <v>153</v>
      </c>
      <c r="I3" s="134" t="s">
        <v>151</v>
      </c>
      <c r="J3" s="135" t="s">
        <v>152</v>
      </c>
      <c r="K3" s="135" t="s">
        <v>153</v>
      </c>
      <c r="L3" s="134" t="s">
        <v>151</v>
      </c>
      <c r="M3" s="135" t="s">
        <v>152</v>
      </c>
      <c r="N3" s="135" t="s">
        <v>153</v>
      </c>
      <c r="O3" s="134" t="s">
        <v>151</v>
      </c>
      <c r="P3" s="135" t="s">
        <v>152</v>
      </c>
      <c r="Q3" s="135" t="s">
        <v>153</v>
      </c>
    </row>
    <row r="4" spans="2:17">
      <c r="B4" s="76" t="s">
        <v>154</v>
      </c>
      <c r="C4" s="138">
        <v>40125</v>
      </c>
      <c r="D4" s="136">
        <v>70</v>
      </c>
      <c r="E4" s="136">
        <f>C4*D4</f>
        <v>2808750</v>
      </c>
      <c r="F4" s="138">
        <f>C4+C4*0.1</f>
        <v>44137.5</v>
      </c>
      <c r="G4" s="136">
        <f>D4</f>
        <v>70</v>
      </c>
      <c r="H4" s="136">
        <f>F4*G4</f>
        <v>3089625</v>
      </c>
      <c r="I4" s="138">
        <f>F4+C4*0.1</f>
        <v>48150</v>
      </c>
      <c r="J4" s="136">
        <f>D4</f>
        <v>70</v>
      </c>
      <c r="K4" s="136">
        <f>I4*J4</f>
        <v>3370500</v>
      </c>
      <c r="L4" s="138">
        <f>I4+C4*0.1</f>
        <v>52162.5</v>
      </c>
      <c r="M4" s="136">
        <f>D4</f>
        <v>70</v>
      </c>
      <c r="N4" s="136">
        <f>L4*M4</f>
        <v>3651375</v>
      </c>
      <c r="O4" s="138">
        <f>L4+C4*0.1</f>
        <v>56175</v>
      </c>
      <c r="P4" s="136">
        <f>D4</f>
        <v>70</v>
      </c>
      <c r="Q4" s="136">
        <f>O4*P4</f>
        <v>3932250</v>
      </c>
    </row>
    <row r="5" spans="2:17">
      <c r="B5" s="76" t="s">
        <v>155</v>
      </c>
      <c r="C5" s="138">
        <f>C4*2</f>
        <v>80250</v>
      </c>
      <c r="D5" s="136">
        <v>0.38</v>
      </c>
      <c r="E5" s="136">
        <f>C5*D5</f>
        <v>30495</v>
      </c>
      <c r="F5" s="138">
        <f t="shared" ref="F5" si="0">F4*2</f>
        <v>88275</v>
      </c>
      <c r="G5" s="139">
        <f>D5</f>
        <v>0.38</v>
      </c>
      <c r="H5" s="136">
        <f>F5*G5</f>
        <v>33544.5</v>
      </c>
      <c r="I5" s="138">
        <f t="shared" ref="I5" si="1">I4*2</f>
        <v>96300</v>
      </c>
      <c r="J5" s="139">
        <f>D5</f>
        <v>0.38</v>
      </c>
      <c r="K5" s="136">
        <f>I5*J5</f>
        <v>36594</v>
      </c>
      <c r="L5" s="138">
        <f>L4*2</f>
        <v>104325</v>
      </c>
      <c r="M5" s="139">
        <f>D5</f>
        <v>0.38</v>
      </c>
      <c r="N5" s="136">
        <f>L5*M5</f>
        <v>39643.5</v>
      </c>
      <c r="O5" s="138">
        <f t="shared" ref="O5" si="2">O4*2</f>
        <v>112350</v>
      </c>
      <c r="P5" s="139">
        <f>D5</f>
        <v>0.38</v>
      </c>
      <c r="Q5" s="136">
        <f>O5*P5</f>
        <v>42693</v>
      </c>
    </row>
    <row r="7" spans="2:17">
      <c r="B7" s="208" t="s">
        <v>156</v>
      </c>
      <c r="C7" s="140"/>
      <c r="D7" s="76"/>
      <c r="E7" s="141">
        <f>E4+E5</f>
        <v>2839245</v>
      </c>
      <c r="F7" s="140"/>
      <c r="G7" s="140"/>
      <c r="H7" s="141">
        <f t="shared" ref="H7" si="3">H4+H5</f>
        <v>3123169.5</v>
      </c>
      <c r="I7" s="140"/>
      <c r="J7" s="140"/>
      <c r="K7" s="141">
        <f t="shared" ref="K7" si="4">K4+K5</f>
        <v>3407094</v>
      </c>
      <c r="L7" s="140"/>
      <c r="M7" s="140"/>
      <c r="N7" s="141">
        <f t="shared" ref="N7" si="5">N4+N5</f>
        <v>3691018.5</v>
      </c>
      <c r="O7" s="140"/>
      <c r="P7" s="140"/>
      <c r="Q7" s="141">
        <f t="shared" ref="Q7" si="6">Q4+Q5</f>
        <v>3974943</v>
      </c>
    </row>
  </sheetData>
  <mergeCells count="6">
    <mergeCell ref="L2:N2"/>
    <mergeCell ref="O2:Q2"/>
    <mergeCell ref="C2:E2"/>
    <mergeCell ref="B2:B3"/>
    <mergeCell ref="F2:H2"/>
    <mergeCell ref="I2:K2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A77C93-C58D-44FA-ACFB-2F72369C448F}">
  <dimension ref="A1:AW58"/>
  <sheetViews>
    <sheetView topLeftCell="AH18" workbookViewId="0">
      <selection activeCell="AW32" sqref="AW32"/>
    </sheetView>
  </sheetViews>
  <sheetFormatPr defaultColWidth="8.88671875" defaultRowHeight="15"/>
  <cols>
    <col min="1" max="1" width="39.21875" bestFit="1" customWidth="1"/>
    <col min="2" max="2" width="10.88671875" customWidth="1"/>
    <col min="3" max="3" width="12" customWidth="1"/>
    <col min="4" max="4" width="10.88671875" customWidth="1"/>
    <col min="5" max="5" width="12" customWidth="1"/>
    <col min="6" max="6" width="10.88671875" customWidth="1"/>
    <col min="7" max="8" width="12" customWidth="1"/>
    <col min="9" max="9" width="13.6640625" customWidth="1"/>
    <col min="10" max="10" width="10.88671875" customWidth="1"/>
    <col min="11" max="11" width="12" customWidth="1"/>
    <col min="12" max="12" width="11.21875" bestFit="1" customWidth="1"/>
    <col min="13" max="13" width="12.33203125" bestFit="1" customWidth="1"/>
    <col min="14" max="14" width="11.21875" bestFit="1" customWidth="1"/>
    <col min="15" max="16" width="12.33203125" bestFit="1" customWidth="1"/>
    <col min="17" max="17" width="14" bestFit="1" customWidth="1"/>
    <col min="18" max="18" width="10.88671875" bestFit="1" customWidth="1"/>
    <col min="19" max="19" width="12.33203125" bestFit="1" customWidth="1"/>
    <col min="20" max="20" width="11.21875" bestFit="1" customWidth="1"/>
    <col min="21" max="21" width="12.33203125" bestFit="1" customWidth="1"/>
    <col min="22" max="22" width="11.21875" bestFit="1" customWidth="1"/>
    <col min="23" max="24" width="12.33203125" bestFit="1" customWidth="1"/>
    <col min="25" max="25" width="14" bestFit="1" customWidth="1"/>
    <col min="26" max="26" width="10.88671875" bestFit="1" customWidth="1"/>
    <col min="27" max="27" width="12.33203125" bestFit="1" customWidth="1"/>
    <col min="28" max="28" width="11.21875" bestFit="1" customWidth="1"/>
    <col min="29" max="29" width="12.33203125" bestFit="1" customWidth="1"/>
    <col min="30" max="30" width="11.21875" bestFit="1" customWidth="1"/>
    <col min="31" max="31" width="14" bestFit="1" customWidth="1"/>
    <col min="32" max="32" width="12.33203125" bestFit="1" customWidth="1"/>
    <col min="33" max="33" width="14" bestFit="1" customWidth="1"/>
    <col min="34" max="34" width="10.88671875" bestFit="1" customWidth="1"/>
    <col min="35" max="35" width="12" bestFit="1" customWidth="1"/>
    <col min="36" max="36" width="10.88671875" bestFit="1" customWidth="1"/>
    <col min="37" max="37" width="12" bestFit="1" customWidth="1"/>
    <col min="38" max="38" width="10.88671875" bestFit="1" customWidth="1"/>
    <col min="39" max="39" width="13.6640625" bestFit="1" customWidth="1"/>
    <col min="40" max="40" width="12" bestFit="1" customWidth="1"/>
    <col min="41" max="41" width="13.6640625" bestFit="1" customWidth="1"/>
    <col min="42" max="42" width="10.88671875" bestFit="1" customWidth="1"/>
    <col min="43" max="43" width="12" bestFit="1" customWidth="1"/>
    <col min="44" max="44" width="10.88671875" bestFit="1" customWidth="1"/>
    <col min="45" max="45" width="12" bestFit="1" customWidth="1"/>
    <col min="46" max="46" width="10.88671875" bestFit="1" customWidth="1"/>
    <col min="47" max="47" width="13.6640625" bestFit="1" customWidth="1"/>
    <col min="48" max="48" width="12" bestFit="1" customWidth="1"/>
    <col min="49" max="49" width="13.6640625" bestFit="1" customWidth="1"/>
  </cols>
  <sheetData>
    <row r="1" spans="1:49" ht="15.75">
      <c r="A1" s="76"/>
      <c r="B1" s="101"/>
      <c r="C1" s="76"/>
      <c r="D1" s="76"/>
      <c r="E1" s="76"/>
      <c r="F1" s="147" t="s">
        <v>157</v>
      </c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</row>
    <row r="2" spans="1:49" ht="15.75" customHeight="1">
      <c r="A2" s="264" t="s">
        <v>158</v>
      </c>
      <c r="B2" s="264"/>
      <c r="C2" s="264"/>
      <c r="D2" s="148">
        <v>3.5000000000000003E-2</v>
      </c>
      <c r="E2" s="76"/>
      <c r="F2" s="149">
        <v>70</v>
      </c>
      <c r="G2" s="76"/>
      <c r="H2" s="76"/>
      <c r="I2" s="76"/>
      <c r="J2" s="76"/>
      <c r="K2" s="76"/>
      <c r="L2" s="76"/>
      <c r="M2" s="76"/>
      <c r="N2" s="76"/>
      <c r="O2" s="76"/>
      <c r="P2" s="76"/>
      <c r="Q2" s="76"/>
      <c r="R2" s="76"/>
      <c r="S2" s="76"/>
      <c r="T2" s="76"/>
      <c r="U2" s="76"/>
      <c r="V2" s="76"/>
      <c r="W2" s="76"/>
      <c r="X2" s="76"/>
      <c r="Y2" s="76"/>
      <c r="Z2" s="76"/>
      <c r="AA2" s="76"/>
      <c r="AB2" s="76"/>
      <c r="AC2" s="76"/>
      <c r="AD2" s="76"/>
      <c r="AE2" s="76"/>
      <c r="AF2" s="76"/>
      <c r="AG2" s="76"/>
      <c r="AH2" s="76"/>
      <c r="AI2" s="76"/>
      <c r="AJ2" s="76"/>
      <c r="AK2" s="76"/>
      <c r="AL2" s="76"/>
      <c r="AM2" s="76"/>
      <c r="AN2" s="76"/>
      <c r="AO2" s="76"/>
      <c r="AP2" s="76"/>
      <c r="AQ2" s="76"/>
      <c r="AR2" s="76"/>
      <c r="AS2" s="76"/>
      <c r="AT2" s="76"/>
      <c r="AU2" s="76"/>
      <c r="AV2" s="76"/>
      <c r="AW2" s="76"/>
    </row>
    <row r="3" spans="1:49">
      <c r="A3" s="76"/>
      <c r="B3" s="101"/>
      <c r="C3" s="76"/>
      <c r="D3" s="76"/>
      <c r="E3" s="76"/>
      <c r="F3" s="76"/>
      <c r="G3" s="76"/>
      <c r="H3" s="76"/>
      <c r="I3" s="76"/>
      <c r="J3" s="76"/>
      <c r="K3" s="76"/>
      <c r="L3" s="76"/>
      <c r="M3" s="76"/>
      <c r="N3" s="76"/>
      <c r="O3" s="76"/>
      <c r="P3" s="76"/>
      <c r="Q3" s="76"/>
      <c r="R3" s="76"/>
      <c r="S3" s="76"/>
      <c r="T3" s="76"/>
      <c r="U3" s="76"/>
      <c r="V3" s="76"/>
      <c r="W3" s="76"/>
      <c r="X3" s="76"/>
      <c r="Y3" s="76"/>
      <c r="Z3" s="76"/>
      <c r="AA3" s="76"/>
      <c r="AB3" s="76"/>
      <c r="AC3" s="76"/>
      <c r="AD3" s="76"/>
      <c r="AE3" s="76"/>
      <c r="AF3" s="76"/>
      <c r="AG3" s="76"/>
      <c r="AH3" s="76"/>
      <c r="AI3" s="76"/>
      <c r="AJ3" s="76"/>
      <c r="AK3" s="76"/>
      <c r="AL3" s="76"/>
      <c r="AM3" s="76"/>
      <c r="AN3" s="76"/>
      <c r="AO3" s="76"/>
      <c r="AP3" s="76"/>
      <c r="AQ3" s="76"/>
      <c r="AR3" s="76"/>
      <c r="AS3" s="76"/>
      <c r="AT3" s="76"/>
      <c r="AU3" s="76"/>
      <c r="AV3" s="76"/>
      <c r="AW3" s="76"/>
    </row>
    <row r="4" spans="1:49" ht="18.75">
      <c r="A4" s="265" t="s">
        <v>159</v>
      </c>
      <c r="B4" s="265"/>
      <c r="C4" s="265"/>
      <c r="D4" s="265"/>
      <c r="E4" s="265"/>
      <c r="F4" s="76"/>
      <c r="G4" s="76"/>
      <c r="H4" s="76"/>
      <c r="I4" s="76"/>
      <c r="J4" s="76"/>
      <c r="K4" s="76"/>
      <c r="L4" s="76"/>
      <c r="M4" s="76"/>
      <c r="N4" s="76"/>
      <c r="O4" s="76"/>
      <c r="P4" s="76"/>
      <c r="Q4" s="76"/>
      <c r="R4" s="76"/>
      <c r="S4" s="76"/>
      <c r="T4" s="76"/>
      <c r="U4" s="76"/>
      <c r="V4" s="76"/>
      <c r="W4" s="76"/>
      <c r="X4" s="76"/>
      <c r="Y4" s="76"/>
      <c r="Z4" s="76"/>
      <c r="AA4" s="76"/>
      <c r="AB4" s="76"/>
      <c r="AC4" s="76"/>
      <c r="AD4" s="76"/>
      <c r="AE4" s="76"/>
      <c r="AF4" s="76"/>
      <c r="AG4" s="76"/>
      <c r="AH4" s="76"/>
      <c r="AI4" s="76"/>
      <c r="AJ4" s="76"/>
      <c r="AK4" s="76"/>
      <c r="AL4" s="76"/>
      <c r="AM4" s="76"/>
      <c r="AN4" s="76"/>
      <c r="AO4" s="76"/>
      <c r="AP4" s="76"/>
      <c r="AQ4" s="76"/>
      <c r="AR4" s="76"/>
      <c r="AS4" s="76"/>
      <c r="AT4" s="76"/>
      <c r="AU4" s="76"/>
      <c r="AV4" s="76"/>
      <c r="AW4" s="76"/>
    </row>
    <row r="5" spans="1:49" ht="18.75">
      <c r="A5" s="269" t="s">
        <v>160</v>
      </c>
      <c r="B5" s="266">
        <v>2020</v>
      </c>
      <c r="C5" s="267"/>
      <c r="D5" s="150">
        <v>2021</v>
      </c>
      <c r="E5" s="151"/>
      <c r="F5" s="152">
        <v>2022</v>
      </c>
      <c r="G5" s="153"/>
      <c r="H5" s="266">
        <v>2023</v>
      </c>
      <c r="I5" s="267"/>
      <c r="J5" s="266">
        <v>2024</v>
      </c>
      <c r="K5" s="268"/>
      <c r="L5" s="266">
        <v>2025</v>
      </c>
      <c r="M5" s="268"/>
      <c r="N5" s="76"/>
      <c r="O5" s="76"/>
      <c r="P5" s="76"/>
      <c r="Q5" s="76"/>
      <c r="R5" s="76"/>
      <c r="S5" s="76"/>
      <c r="T5" s="76"/>
      <c r="U5" s="76"/>
      <c r="V5" s="76"/>
      <c r="W5" s="76"/>
      <c r="X5" s="76"/>
      <c r="Y5" s="76"/>
      <c r="Z5" s="76"/>
      <c r="AA5" s="76"/>
      <c r="AB5" s="76"/>
      <c r="AC5" s="76"/>
      <c r="AD5" s="76"/>
      <c r="AE5" s="76"/>
      <c r="AF5" s="76"/>
      <c r="AG5" s="76"/>
      <c r="AH5" s="76"/>
      <c r="AI5" s="76"/>
      <c r="AJ5" s="76"/>
      <c r="AK5" s="76"/>
      <c r="AL5" s="76"/>
      <c r="AM5" s="76"/>
      <c r="AN5" s="76"/>
      <c r="AO5" s="76"/>
      <c r="AP5" s="76"/>
      <c r="AQ5" s="76"/>
      <c r="AR5" s="76"/>
      <c r="AS5" s="76"/>
      <c r="AT5" s="76"/>
      <c r="AU5" s="76"/>
      <c r="AV5" s="76"/>
      <c r="AW5" s="76"/>
    </row>
    <row r="6" spans="1:49" ht="18.75" customHeight="1">
      <c r="A6" s="270"/>
      <c r="B6" s="154" t="s">
        <v>161</v>
      </c>
      <c r="C6" s="155"/>
      <c r="D6" s="156" t="s">
        <v>162</v>
      </c>
      <c r="E6" s="157"/>
      <c r="F6" s="156" t="s">
        <v>162</v>
      </c>
      <c r="G6" s="157"/>
      <c r="H6" s="272" t="s">
        <v>162</v>
      </c>
      <c r="I6" s="273"/>
      <c r="J6" s="272" t="s">
        <v>162</v>
      </c>
      <c r="K6" s="273"/>
      <c r="L6" s="272" t="s">
        <v>162</v>
      </c>
      <c r="M6" s="273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  <c r="AA6" s="76"/>
      <c r="AB6" s="76"/>
      <c r="AC6" s="76"/>
      <c r="AD6" s="76"/>
      <c r="AE6" s="76"/>
      <c r="AF6" s="76"/>
      <c r="AG6" s="76"/>
      <c r="AH6" s="76"/>
      <c r="AI6" s="76"/>
      <c r="AJ6" s="76"/>
      <c r="AK6" s="76"/>
      <c r="AL6" s="76"/>
      <c r="AM6" s="76"/>
      <c r="AN6" s="76"/>
      <c r="AO6" s="76"/>
      <c r="AP6" s="76"/>
      <c r="AQ6" s="76"/>
      <c r="AR6" s="76"/>
      <c r="AS6" s="76"/>
      <c r="AT6" s="76"/>
      <c r="AU6" s="76"/>
      <c r="AV6" s="76"/>
      <c r="AW6" s="76"/>
    </row>
    <row r="7" spans="1:49" ht="15.75" customHeight="1">
      <c r="A7" s="271"/>
      <c r="B7" s="102" t="s">
        <v>163</v>
      </c>
      <c r="C7" s="158" t="s">
        <v>143</v>
      </c>
      <c r="D7" s="102" t="s">
        <v>163</v>
      </c>
      <c r="E7" s="103" t="s">
        <v>143</v>
      </c>
      <c r="F7" s="102" t="s">
        <v>163</v>
      </c>
      <c r="G7" s="158" t="s">
        <v>143</v>
      </c>
      <c r="H7" s="102" t="s">
        <v>163</v>
      </c>
      <c r="I7" s="103" t="s">
        <v>143</v>
      </c>
      <c r="J7" s="102" t="s">
        <v>163</v>
      </c>
      <c r="K7" s="103" t="s">
        <v>143</v>
      </c>
      <c r="L7" s="102" t="s">
        <v>163</v>
      </c>
      <c r="M7" s="103" t="s">
        <v>143</v>
      </c>
      <c r="N7" s="146"/>
      <c r="O7" s="146"/>
      <c r="P7" s="146"/>
      <c r="Q7" s="146"/>
      <c r="R7" s="146"/>
      <c r="S7" s="146"/>
      <c r="T7" s="146"/>
      <c r="U7" s="146"/>
      <c r="V7" s="146"/>
      <c r="W7" s="146"/>
      <c r="X7" s="76"/>
      <c r="Y7" s="76"/>
      <c r="Z7" s="76"/>
      <c r="AA7" s="76"/>
      <c r="AB7" s="76"/>
      <c r="AC7" s="76"/>
      <c r="AD7" s="76"/>
      <c r="AE7" s="76"/>
      <c r="AF7" s="76"/>
      <c r="AG7" s="76"/>
      <c r="AH7" s="76"/>
      <c r="AI7" s="76"/>
      <c r="AJ7" s="76"/>
      <c r="AK7" s="76"/>
      <c r="AL7" s="76"/>
      <c r="AM7" s="76"/>
      <c r="AN7" s="76"/>
      <c r="AO7" s="76"/>
      <c r="AP7" s="76"/>
      <c r="AQ7" s="76"/>
      <c r="AR7" s="76"/>
      <c r="AS7" s="76"/>
      <c r="AT7" s="76"/>
      <c r="AU7" s="76"/>
      <c r="AV7" s="76"/>
      <c r="AW7" s="76"/>
    </row>
    <row r="8" spans="1:49" ht="15.75">
      <c r="A8" s="104" t="s">
        <v>164</v>
      </c>
      <c r="B8" s="143">
        <v>0</v>
      </c>
      <c r="C8" s="144">
        <f>F2*0.3</f>
        <v>21</v>
      </c>
      <c r="D8" s="142">
        <v>0</v>
      </c>
      <c r="E8" s="144">
        <f>$F$2*(($D$2*(D5-2020))+0.3)</f>
        <v>23.449999999999996</v>
      </c>
      <c r="F8" s="159">
        <v>0</v>
      </c>
      <c r="G8" s="144">
        <f>$F$2*(($D$2*(F5-2020))+0.3)</f>
        <v>25.9</v>
      </c>
      <c r="H8" s="159">
        <v>0</v>
      </c>
      <c r="I8" s="144">
        <f>$F$2*(($D$2*(H5-2020))+0.3)</f>
        <v>28.35</v>
      </c>
      <c r="J8" s="159">
        <v>0</v>
      </c>
      <c r="K8" s="144">
        <f>$F$2*(($D$2*(J5-2020))+0.3)</f>
        <v>30.8</v>
      </c>
      <c r="L8" s="145">
        <v>0</v>
      </c>
      <c r="M8" s="144">
        <f>$F$2*(($D$2*(L5-2020))+0.3)</f>
        <v>33.25</v>
      </c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6"/>
      <c r="AG8" s="76"/>
      <c r="AH8" s="76"/>
      <c r="AI8" s="76"/>
      <c r="AJ8" s="76"/>
      <c r="AK8" s="76"/>
      <c r="AL8" s="76"/>
      <c r="AM8" s="76"/>
      <c r="AN8" s="76"/>
      <c r="AO8" s="76"/>
      <c r="AP8" s="76"/>
      <c r="AQ8" s="76"/>
      <c r="AR8" s="76"/>
      <c r="AS8" s="76"/>
      <c r="AT8" s="76"/>
      <c r="AU8" s="76"/>
      <c r="AV8" s="76"/>
      <c r="AW8" s="76"/>
    </row>
    <row r="9" spans="1:49" ht="15.75">
      <c r="A9" s="107" t="s">
        <v>165</v>
      </c>
      <c r="B9" s="143">
        <v>0</v>
      </c>
      <c r="C9" s="144">
        <f>C8</f>
        <v>21</v>
      </c>
      <c r="D9" s="143">
        <v>0</v>
      </c>
      <c r="E9" s="144">
        <f>E8</f>
        <v>23.449999999999996</v>
      </c>
      <c r="F9" s="143">
        <v>0</v>
      </c>
      <c r="G9" s="144">
        <f>G8</f>
        <v>25.9</v>
      </c>
      <c r="H9" s="143">
        <v>0</v>
      </c>
      <c r="I9" s="144">
        <f>I8</f>
        <v>28.35</v>
      </c>
      <c r="J9" s="143">
        <v>0</v>
      </c>
      <c r="K9" s="144">
        <f>K8</f>
        <v>30.8</v>
      </c>
      <c r="L9" s="145">
        <v>0</v>
      </c>
      <c r="M9" s="144">
        <f>M8</f>
        <v>33.25</v>
      </c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76"/>
      <c r="AS9" s="76"/>
      <c r="AT9" s="76"/>
      <c r="AU9" s="76"/>
      <c r="AV9" s="76"/>
      <c r="AW9" s="76"/>
    </row>
    <row r="10" spans="1:49">
      <c r="A10" s="106" t="s">
        <v>166</v>
      </c>
      <c r="B10" s="258">
        <f>B9+C9</f>
        <v>21</v>
      </c>
      <c r="C10" s="259"/>
      <c r="D10" s="258">
        <f t="shared" ref="D10" si="0">D9+E9</f>
        <v>23.449999999999996</v>
      </c>
      <c r="E10" s="259"/>
      <c r="F10" s="258">
        <f t="shared" ref="F10" si="1">F9+G9</f>
        <v>25.9</v>
      </c>
      <c r="G10" s="259"/>
      <c r="H10" s="258">
        <f t="shared" ref="H10" si="2">H9+I9</f>
        <v>28.35</v>
      </c>
      <c r="I10" s="259"/>
      <c r="J10" s="258">
        <f t="shared" ref="J10" si="3">J9+K9</f>
        <v>30.8</v>
      </c>
      <c r="K10" s="259"/>
      <c r="L10" s="258">
        <f t="shared" ref="L10" si="4">L9+M9</f>
        <v>33.25</v>
      </c>
      <c r="M10" s="259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76"/>
      <c r="AS10" s="76"/>
      <c r="AT10" s="76"/>
      <c r="AU10" s="76"/>
      <c r="AV10" s="76"/>
      <c r="AW10" s="76"/>
    </row>
    <row r="11" spans="1:49">
      <c r="A11" s="106" t="s">
        <v>167</v>
      </c>
      <c r="B11" s="258">
        <v>5000</v>
      </c>
      <c r="C11" s="259"/>
      <c r="D11" s="258">
        <v>5500</v>
      </c>
      <c r="E11" s="259"/>
      <c r="F11" s="258">
        <v>6600</v>
      </c>
      <c r="G11" s="259"/>
      <c r="H11" s="258">
        <v>8580</v>
      </c>
      <c r="I11" s="259"/>
      <c r="J11" s="258">
        <v>12012</v>
      </c>
      <c r="K11" s="259"/>
      <c r="L11" s="258">
        <v>18018</v>
      </c>
      <c r="M11" s="259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6"/>
      <c r="AG11" s="76"/>
      <c r="AH11" s="76"/>
      <c r="AI11" s="76"/>
      <c r="AJ11" s="76"/>
      <c r="AK11" s="76"/>
      <c r="AL11" s="76"/>
      <c r="AM11" s="76"/>
      <c r="AN11" s="76"/>
      <c r="AO11" s="76"/>
      <c r="AP11" s="76"/>
      <c r="AQ11" s="76"/>
      <c r="AR11" s="76"/>
      <c r="AS11" s="76"/>
      <c r="AT11" s="76"/>
      <c r="AU11" s="76"/>
      <c r="AV11" s="76"/>
      <c r="AW11" s="76"/>
    </row>
    <row r="12" spans="1:49">
      <c r="A12" s="108" t="s">
        <v>168</v>
      </c>
      <c r="B12" s="260">
        <f>B11*B10</f>
        <v>105000</v>
      </c>
      <c r="C12" s="261"/>
      <c r="D12" s="260">
        <f t="shared" ref="D12" si="5">D11*D10</f>
        <v>128974.99999999997</v>
      </c>
      <c r="E12" s="261"/>
      <c r="F12" s="260">
        <f t="shared" ref="F12" si="6">F11*F10</f>
        <v>170940</v>
      </c>
      <c r="G12" s="261"/>
      <c r="H12" s="260">
        <f t="shared" ref="H12" si="7">H11*H10</f>
        <v>243243</v>
      </c>
      <c r="I12" s="261"/>
      <c r="J12" s="260">
        <f t="shared" ref="J12" si="8">J11*J10</f>
        <v>369969.60000000003</v>
      </c>
      <c r="K12" s="261"/>
      <c r="L12" s="260">
        <f t="shared" ref="L12" si="9">L11*L10</f>
        <v>599098.5</v>
      </c>
      <c r="M12" s="261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6"/>
      <c r="AG12" s="76"/>
      <c r="AH12" s="76"/>
      <c r="AI12" s="76"/>
      <c r="AJ12" s="76"/>
      <c r="AK12" s="76"/>
      <c r="AL12" s="76"/>
      <c r="AM12" s="76"/>
      <c r="AN12" s="76"/>
      <c r="AO12" s="76"/>
      <c r="AP12" s="76"/>
      <c r="AQ12" s="76"/>
      <c r="AR12" s="76"/>
      <c r="AS12" s="76"/>
      <c r="AT12" s="76"/>
      <c r="AU12" s="76"/>
      <c r="AV12" s="76"/>
      <c r="AW12" s="76"/>
    </row>
    <row r="13" spans="1:49">
      <c r="A13" s="76"/>
      <c r="B13" s="160"/>
      <c r="C13" s="161"/>
      <c r="D13" s="76"/>
      <c r="E13" s="76"/>
      <c r="F13" s="76"/>
      <c r="G13" s="76"/>
      <c r="H13" s="76"/>
      <c r="I13" s="76"/>
      <c r="J13" s="76"/>
      <c r="K13" s="76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6"/>
      <c r="AG13" s="76"/>
      <c r="AH13" s="76"/>
      <c r="AI13" s="76"/>
      <c r="AJ13" s="76"/>
      <c r="AK13" s="76"/>
      <c r="AL13" s="76"/>
      <c r="AM13" s="76"/>
      <c r="AN13" s="76"/>
      <c r="AO13" s="76"/>
      <c r="AP13" s="76"/>
      <c r="AQ13" s="76"/>
      <c r="AR13" s="76"/>
      <c r="AS13" s="76"/>
      <c r="AT13" s="76"/>
      <c r="AU13" s="76"/>
      <c r="AV13" s="76"/>
      <c r="AW13" s="76"/>
    </row>
    <row r="14" spans="1:49">
      <c r="A14" s="76"/>
      <c r="B14" s="101"/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6"/>
      <c r="AG14" s="76"/>
      <c r="AH14" s="76"/>
      <c r="AI14" s="76"/>
      <c r="AJ14" s="76"/>
      <c r="AK14" s="76"/>
      <c r="AL14" s="76"/>
      <c r="AM14" s="76"/>
      <c r="AN14" s="76"/>
      <c r="AO14" s="76"/>
      <c r="AP14" s="76"/>
      <c r="AQ14" s="76"/>
      <c r="AR14" s="76"/>
      <c r="AS14" s="76"/>
      <c r="AT14" s="76"/>
      <c r="AU14" s="76"/>
      <c r="AV14" s="76"/>
      <c r="AW14" s="76"/>
    </row>
    <row r="15" spans="1:49">
      <c r="A15" s="76"/>
      <c r="B15" s="101"/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6"/>
      <c r="AG15" s="76"/>
      <c r="AH15" s="76"/>
      <c r="AI15" s="76"/>
      <c r="AJ15" s="76"/>
      <c r="AK15" s="76"/>
      <c r="AL15" s="76"/>
      <c r="AM15" s="76"/>
      <c r="AN15" s="76"/>
      <c r="AO15" s="76"/>
      <c r="AP15" s="76"/>
      <c r="AQ15" s="76"/>
      <c r="AR15" s="76"/>
      <c r="AS15" s="76"/>
      <c r="AT15" s="76"/>
      <c r="AU15" s="76"/>
      <c r="AV15" s="76"/>
      <c r="AW15" s="76"/>
    </row>
    <row r="16" spans="1:49">
      <c r="A16" s="76"/>
      <c r="B16" s="101"/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6"/>
      <c r="AG16" s="76"/>
      <c r="AH16" s="76"/>
      <c r="AI16" s="76"/>
      <c r="AJ16" s="76"/>
      <c r="AK16" s="76"/>
      <c r="AL16" s="76"/>
      <c r="AM16" s="76"/>
      <c r="AN16" s="76"/>
      <c r="AO16" s="76"/>
      <c r="AP16" s="76"/>
      <c r="AQ16" s="76"/>
      <c r="AR16" s="76"/>
      <c r="AS16" s="76"/>
      <c r="AT16" s="76"/>
      <c r="AU16" s="76"/>
      <c r="AV16" s="76"/>
      <c r="AW16" s="76"/>
    </row>
    <row r="17" spans="1:49" ht="18.75">
      <c r="A17" s="262" t="s">
        <v>169</v>
      </c>
      <c r="B17" s="262"/>
      <c r="C17" s="262"/>
      <c r="D17" s="262"/>
      <c r="E17" s="262"/>
      <c r="F17" s="262"/>
      <c r="G17" s="262"/>
      <c r="H17" s="262"/>
      <c r="I17" s="262"/>
      <c r="J17" s="76"/>
      <c r="K17" s="76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6"/>
      <c r="AG17" s="76"/>
      <c r="AH17" s="76"/>
      <c r="AI17" s="76"/>
      <c r="AJ17" s="76"/>
      <c r="AK17" s="76"/>
      <c r="AL17" s="76"/>
      <c r="AM17" s="76"/>
      <c r="AN17" s="76"/>
      <c r="AO17" s="76"/>
      <c r="AP17" s="76"/>
      <c r="AQ17" s="76"/>
      <c r="AR17" s="76"/>
      <c r="AS17" s="76"/>
      <c r="AT17" s="76"/>
      <c r="AU17" s="76"/>
      <c r="AV17" s="76"/>
      <c r="AW17" s="76"/>
    </row>
    <row r="18" spans="1:49" ht="18.75">
      <c r="A18" s="214"/>
      <c r="B18" s="245">
        <v>2020</v>
      </c>
      <c r="C18" s="246"/>
      <c r="D18" s="246"/>
      <c r="E18" s="246"/>
      <c r="F18" s="246"/>
      <c r="G18" s="246"/>
      <c r="H18" s="246"/>
      <c r="I18" s="263"/>
      <c r="J18" s="245">
        <v>2021</v>
      </c>
      <c r="K18" s="246"/>
      <c r="L18" s="246"/>
      <c r="M18" s="246"/>
      <c r="N18" s="246"/>
      <c r="O18" s="246"/>
      <c r="P18" s="246"/>
      <c r="Q18" s="247"/>
      <c r="R18" s="245">
        <v>2022</v>
      </c>
      <c r="S18" s="246"/>
      <c r="T18" s="246"/>
      <c r="U18" s="246"/>
      <c r="V18" s="246"/>
      <c r="W18" s="246"/>
      <c r="X18" s="246"/>
      <c r="Y18" s="247"/>
      <c r="Z18" s="245">
        <v>2023</v>
      </c>
      <c r="AA18" s="246"/>
      <c r="AB18" s="246"/>
      <c r="AC18" s="246"/>
      <c r="AD18" s="246"/>
      <c r="AE18" s="246"/>
      <c r="AF18" s="246"/>
      <c r="AG18" s="247"/>
      <c r="AH18" s="245">
        <v>2024</v>
      </c>
      <c r="AI18" s="246"/>
      <c r="AJ18" s="246"/>
      <c r="AK18" s="246"/>
      <c r="AL18" s="246"/>
      <c r="AM18" s="246"/>
      <c r="AN18" s="246"/>
      <c r="AO18" s="247"/>
      <c r="AP18" s="245">
        <v>2025</v>
      </c>
      <c r="AQ18" s="246"/>
      <c r="AR18" s="246"/>
      <c r="AS18" s="246"/>
      <c r="AT18" s="246"/>
      <c r="AU18" s="246"/>
      <c r="AV18" s="246"/>
      <c r="AW18" s="247"/>
    </row>
    <row r="19" spans="1:49" ht="16.5" customHeight="1">
      <c r="A19" s="274" t="s">
        <v>160</v>
      </c>
      <c r="B19" s="284" t="s">
        <v>170</v>
      </c>
      <c r="C19" s="285"/>
      <c r="D19" s="276" t="s">
        <v>171</v>
      </c>
      <c r="E19" s="277" t="s">
        <v>163</v>
      </c>
      <c r="F19" s="278" t="s">
        <v>172</v>
      </c>
      <c r="G19" s="279" t="s">
        <v>173</v>
      </c>
      <c r="H19" s="280" t="s">
        <v>174</v>
      </c>
      <c r="I19" s="282" t="s">
        <v>175</v>
      </c>
      <c r="J19" s="248" t="s">
        <v>170</v>
      </c>
      <c r="K19" s="249"/>
      <c r="L19" s="250" t="s">
        <v>171</v>
      </c>
      <c r="M19" s="251" t="s">
        <v>163</v>
      </c>
      <c r="N19" s="252" t="s">
        <v>172</v>
      </c>
      <c r="O19" s="253" t="s">
        <v>173</v>
      </c>
      <c r="P19" s="254" t="s">
        <v>174</v>
      </c>
      <c r="Q19" s="256" t="s">
        <v>175</v>
      </c>
      <c r="R19" s="248" t="s">
        <v>170</v>
      </c>
      <c r="S19" s="249"/>
      <c r="T19" s="250" t="s">
        <v>171</v>
      </c>
      <c r="U19" s="251" t="s">
        <v>163</v>
      </c>
      <c r="V19" s="252" t="s">
        <v>172</v>
      </c>
      <c r="W19" s="253" t="s">
        <v>173</v>
      </c>
      <c r="X19" s="254" t="s">
        <v>174</v>
      </c>
      <c r="Y19" s="256" t="s">
        <v>175</v>
      </c>
      <c r="Z19" s="248" t="s">
        <v>170</v>
      </c>
      <c r="AA19" s="249"/>
      <c r="AB19" s="250" t="s">
        <v>171</v>
      </c>
      <c r="AC19" s="251" t="s">
        <v>163</v>
      </c>
      <c r="AD19" s="252" t="s">
        <v>172</v>
      </c>
      <c r="AE19" s="253" t="s">
        <v>173</v>
      </c>
      <c r="AF19" s="254" t="s">
        <v>174</v>
      </c>
      <c r="AG19" s="256" t="s">
        <v>175</v>
      </c>
      <c r="AH19" s="248" t="s">
        <v>170</v>
      </c>
      <c r="AI19" s="249"/>
      <c r="AJ19" s="250" t="s">
        <v>171</v>
      </c>
      <c r="AK19" s="251" t="s">
        <v>163</v>
      </c>
      <c r="AL19" s="252" t="s">
        <v>172</v>
      </c>
      <c r="AM19" s="253" t="s">
        <v>173</v>
      </c>
      <c r="AN19" s="254" t="s">
        <v>174</v>
      </c>
      <c r="AO19" s="256" t="s">
        <v>175</v>
      </c>
      <c r="AP19" s="248" t="s">
        <v>170</v>
      </c>
      <c r="AQ19" s="249"/>
      <c r="AR19" s="250" t="s">
        <v>171</v>
      </c>
      <c r="AS19" s="251" t="s">
        <v>163</v>
      </c>
      <c r="AT19" s="252" t="s">
        <v>172</v>
      </c>
      <c r="AU19" s="253" t="s">
        <v>173</v>
      </c>
      <c r="AV19" s="254" t="s">
        <v>174</v>
      </c>
      <c r="AW19" s="256" t="s">
        <v>175</v>
      </c>
    </row>
    <row r="20" spans="1:49" ht="42" customHeight="1">
      <c r="A20" s="275"/>
      <c r="B20" s="109" t="s">
        <v>176</v>
      </c>
      <c r="C20" s="110" t="s">
        <v>177</v>
      </c>
      <c r="D20" s="111" t="s">
        <v>176</v>
      </c>
      <c r="E20" s="110" t="s">
        <v>177</v>
      </c>
      <c r="F20" s="111" t="s">
        <v>176</v>
      </c>
      <c r="G20" s="111" t="s">
        <v>177</v>
      </c>
      <c r="H20" s="281"/>
      <c r="I20" s="283"/>
      <c r="J20" s="109" t="s">
        <v>176</v>
      </c>
      <c r="K20" s="110" t="s">
        <v>177</v>
      </c>
      <c r="L20" s="111" t="s">
        <v>176</v>
      </c>
      <c r="M20" s="110" t="s">
        <v>177</v>
      </c>
      <c r="N20" s="111" t="s">
        <v>176</v>
      </c>
      <c r="O20" s="111" t="s">
        <v>177</v>
      </c>
      <c r="P20" s="255"/>
      <c r="Q20" s="257"/>
      <c r="R20" s="109" t="s">
        <v>176</v>
      </c>
      <c r="S20" s="110" t="s">
        <v>177</v>
      </c>
      <c r="T20" s="111" t="s">
        <v>176</v>
      </c>
      <c r="U20" s="110" t="s">
        <v>177</v>
      </c>
      <c r="V20" s="111" t="s">
        <v>176</v>
      </c>
      <c r="W20" s="111" t="s">
        <v>177</v>
      </c>
      <c r="X20" s="255"/>
      <c r="Y20" s="257"/>
      <c r="Z20" s="109" t="s">
        <v>176</v>
      </c>
      <c r="AA20" s="110" t="s">
        <v>177</v>
      </c>
      <c r="AB20" s="111" t="s">
        <v>176</v>
      </c>
      <c r="AC20" s="110" t="s">
        <v>177</v>
      </c>
      <c r="AD20" s="111" t="s">
        <v>176</v>
      </c>
      <c r="AE20" s="111" t="s">
        <v>177</v>
      </c>
      <c r="AF20" s="255"/>
      <c r="AG20" s="257"/>
      <c r="AH20" s="109" t="s">
        <v>176</v>
      </c>
      <c r="AI20" s="110" t="s">
        <v>177</v>
      </c>
      <c r="AJ20" s="111" t="s">
        <v>176</v>
      </c>
      <c r="AK20" s="110" t="s">
        <v>177</v>
      </c>
      <c r="AL20" s="111" t="s">
        <v>176</v>
      </c>
      <c r="AM20" s="111" t="s">
        <v>177</v>
      </c>
      <c r="AN20" s="255"/>
      <c r="AO20" s="257"/>
      <c r="AP20" s="109" t="s">
        <v>176</v>
      </c>
      <c r="AQ20" s="110" t="s">
        <v>177</v>
      </c>
      <c r="AR20" s="111" t="s">
        <v>176</v>
      </c>
      <c r="AS20" s="110" t="s">
        <v>177</v>
      </c>
      <c r="AT20" s="111" t="s">
        <v>176</v>
      </c>
      <c r="AU20" s="111" t="s">
        <v>177</v>
      </c>
      <c r="AV20" s="255"/>
      <c r="AW20" s="257"/>
    </row>
    <row r="21" spans="1:49" ht="15.75">
      <c r="A21" s="112" t="s">
        <v>178</v>
      </c>
      <c r="B21" s="177">
        <v>0</v>
      </c>
      <c r="C21" s="170">
        <v>0</v>
      </c>
      <c r="D21" s="170">
        <f>D22</f>
        <v>8750</v>
      </c>
      <c r="E21" s="170">
        <f>E22</f>
        <v>105000</v>
      </c>
      <c r="F21" s="170"/>
      <c r="G21" s="170"/>
      <c r="H21" s="170">
        <f>H22</f>
        <v>8750</v>
      </c>
      <c r="I21" s="170">
        <f>I22</f>
        <v>105000</v>
      </c>
      <c r="J21" s="170">
        <v>0</v>
      </c>
      <c r="K21" s="170">
        <v>0</v>
      </c>
      <c r="L21" s="170">
        <f>L22</f>
        <v>9056.25</v>
      </c>
      <c r="M21" s="170">
        <f>M22</f>
        <v>128974.99999999997</v>
      </c>
      <c r="N21" s="170">
        <v>0</v>
      </c>
      <c r="O21" s="170">
        <v>0</v>
      </c>
      <c r="P21" s="170">
        <f>P22</f>
        <v>10747.916666666664</v>
      </c>
      <c r="Q21" s="170">
        <f>Q22</f>
        <v>128974.99999999997</v>
      </c>
      <c r="R21" s="170">
        <v>0</v>
      </c>
      <c r="S21" s="170">
        <v>0</v>
      </c>
      <c r="T21" s="170">
        <f>T22</f>
        <v>49924.875</v>
      </c>
      <c r="U21" s="170">
        <f>U22</f>
        <v>599098.5</v>
      </c>
      <c r="V21" s="170">
        <v>0</v>
      </c>
      <c r="W21" s="170">
        <v>0</v>
      </c>
      <c r="X21" s="170">
        <f>X22</f>
        <v>49924.875</v>
      </c>
      <c r="Y21" s="170">
        <f>Y22</f>
        <v>599098.5</v>
      </c>
      <c r="Z21" s="170">
        <v>0</v>
      </c>
      <c r="AA21" s="170">
        <v>0</v>
      </c>
      <c r="AB21" s="170">
        <f>AB22</f>
        <v>20270.25</v>
      </c>
      <c r="AC21" s="170">
        <f>AC22</f>
        <v>243243</v>
      </c>
      <c r="AD21" s="170">
        <v>0</v>
      </c>
      <c r="AE21" s="170">
        <v>0</v>
      </c>
      <c r="AF21" s="170">
        <f>AF22</f>
        <v>20270.25</v>
      </c>
      <c r="AG21" s="170">
        <f>AG22</f>
        <v>243243</v>
      </c>
      <c r="AH21" s="170">
        <v>0</v>
      </c>
      <c r="AI21" s="170">
        <v>0</v>
      </c>
      <c r="AJ21" s="170">
        <f>AJ22</f>
        <v>30830.800000000003</v>
      </c>
      <c r="AK21" s="170">
        <f>AK22</f>
        <v>369969.60000000003</v>
      </c>
      <c r="AL21" s="170">
        <v>0</v>
      </c>
      <c r="AM21" s="170">
        <v>0</v>
      </c>
      <c r="AN21" s="170">
        <f>AN22</f>
        <v>30830.800000000003</v>
      </c>
      <c r="AO21" s="170">
        <f>AO22</f>
        <v>369969.60000000003</v>
      </c>
      <c r="AP21" s="170">
        <v>0</v>
      </c>
      <c r="AQ21" s="170">
        <v>0</v>
      </c>
      <c r="AR21" s="170">
        <f>AR22</f>
        <v>49924.875</v>
      </c>
      <c r="AS21" s="170">
        <f>AS22</f>
        <v>599098.5</v>
      </c>
      <c r="AT21" s="170">
        <v>0</v>
      </c>
      <c r="AU21" s="170">
        <v>0</v>
      </c>
      <c r="AV21" s="170">
        <f>AV22</f>
        <v>49924.875</v>
      </c>
      <c r="AW21" s="178">
        <f>AW22</f>
        <v>599098.5</v>
      </c>
    </row>
    <row r="22" spans="1:49" ht="15.75">
      <c r="A22" s="113" t="s">
        <v>179</v>
      </c>
      <c r="B22" s="179">
        <v>0</v>
      </c>
      <c r="C22" s="180">
        <v>0</v>
      </c>
      <c r="D22" s="169">
        <f>E22/12</f>
        <v>8750</v>
      </c>
      <c r="E22" s="169">
        <f>B12</f>
        <v>105000</v>
      </c>
      <c r="F22" s="169"/>
      <c r="G22" s="169"/>
      <c r="H22" s="171">
        <f>I22/12</f>
        <v>8750</v>
      </c>
      <c r="I22" s="171">
        <f>E22</f>
        <v>105000</v>
      </c>
      <c r="J22" s="174" t="s">
        <v>180</v>
      </c>
      <c r="K22" s="174" t="s">
        <v>180</v>
      </c>
      <c r="L22" s="169">
        <v>9056.25</v>
      </c>
      <c r="M22" s="169">
        <f>D12</f>
        <v>128974.99999999997</v>
      </c>
      <c r="N22" s="169">
        <v>0</v>
      </c>
      <c r="O22" s="169">
        <v>0</v>
      </c>
      <c r="P22" s="169">
        <f>Q22/12</f>
        <v>10747.916666666664</v>
      </c>
      <c r="Q22" s="169">
        <f>M22</f>
        <v>128974.99999999997</v>
      </c>
      <c r="R22" s="174" t="s">
        <v>180</v>
      </c>
      <c r="S22" s="174" t="s">
        <v>180</v>
      </c>
      <c r="T22" s="169">
        <f>U22/12</f>
        <v>49924.875</v>
      </c>
      <c r="U22" s="169">
        <f>L12</f>
        <v>599098.5</v>
      </c>
      <c r="V22" s="169">
        <v>0</v>
      </c>
      <c r="W22" s="169">
        <v>0</v>
      </c>
      <c r="X22" s="169">
        <f>Y22/12</f>
        <v>49924.875</v>
      </c>
      <c r="Y22" s="169">
        <f>U22</f>
        <v>599098.5</v>
      </c>
      <c r="Z22" s="174" t="s">
        <v>180</v>
      </c>
      <c r="AA22" s="174" t="s">
        <v>180</v>
      </c>
      <c r="AB22" s="169">
        <f>AC22/12</f>
        <v>20270.25</v>
      </c>
      <c r="AC22" s="169">
        <f>H12</f>
        <v>243243</v>
      </c>
      <c r="AD22" s="169">
        <v>0</v>
      </c>
      <c r="AE22" s="169">
        <v>0</v>
      </c>
      <c r="AF22" s="169">
        <f>AG22/12</f>
        <v>20270.25</v>
      </c>
      <c r="AG22" s="169">
        <f>AC22</f>
        <v>243243</v>
      </c>
      <c r="AH22" s="174" t="s">
        <v>180</v>
      </c>
      <c r="AI22" s="174" t="s">
        <v>180</v>
      </c>
      <c r="AJ22" s="169">
        <f>AK22/12</f>
        <v>30830.800000000003</v>
      </c>
      <c r="AK22" s="169">
        <f>J12</f>
        <v>369969.60000000003</v>
      </c>
      <c r="AL22" s="169">
        <v>0</v>
      </c>
      <c r="AM22" s="169">
        <v>0</v>
      </c>
      <c r="AN22" s="169">
        <f>AO22/12</f>
        <v>30830.800000000003</v>
      </c>
      <c r="AO22" s="169">
        <f>AK22</f>
        <v>369969.60000000003</v>
      </c>
      <c r="AP22" s="174" t="s">
        <v>180</v>
      </c>
      <c r="AQ22" s="174" t="s">
        <v>180</v>
      </c>
      <c r="AR22" s="169">
        <f>AS22/12</f>
        <v>49924.875</v>
      </c>
      <c r="AS22" s="169">
        <f>L12</f>
        <v>599098.5</v>
      </c>
      <c r="AT22" s="169">
        <v>0</v>
      </c>
      <c r="AU22" s="169">
        <v>0</v>
      </c>
      <c r="AV22" s="169">
        <f>AW22/12</f>
        <v>49924.875</v>
      </c>
      <c r="AW22" s="181">
        <f>AS22</f>
        <v>599098.5</v>
      </c>
    </row>
    <row r="23" spans="1:49" ht="15.75">
      <c r="A23" s="114" t="s">
        <v>181</v>
      </c>
      <c r="B23" s="175">
        <f t="shared" ref="B23:I23" si="10">SUM(B24:B31)</f>
        <v>41369.629629629628</v>
      </c>
      <c r="C23" s="172">
        <f t="shared" si="10"/>
        <v>496435.55555555556</v>
      </c>
      <c r="D23" s="172">
        <f t="shared" si="10"/>
        <v>25176.875</v>
      </c>
      <c r="E23" s="172">
        <f t="shared" si="10"/>
        <v>302122.5</v>
      </c>
      <c r="F23" s="172">
        <f t="shared" si="10"/>
        <v>75866.467592592599</v>
      </c>
      <c r="G23" s="172">
        <f t="shared" si="10"/>
        <v>910397.61111111112</v>
      </c>
      <c r="H23" s="172">
        <f t="shared" si="10"/>
        <v>142412.97222222222</v>
      </c>
      <c r="I23" s="173">
        <f>SUM(I24:I31)</f>
        <v>1708955.6666666667</v>
      </c>
      <c r="J23" s="175">
        <f>SUM(J24:J31)</f>
        <v>42817.566666666666</v>
      </c>
      <c r="K23" s="203">
        <f>SUM(K24:K31)</f>
        <v>513810.8</v>
      </c>
      <c r="L23" s="203">
        <f>SUM(L24:L31)</f>
        <v>26058.065624999999</v>
      </c>
      <c r="M23" s="203">
        <f>SUM(M24:M31)</f>
        <v>312696.78749999998</v>
      </c>
      <c r="N23" s="203">
        <f>SUM(N24:N31)</f>
        <v>78521.793958333335</v>
      </c>
      <c r="O23" s="203">
        <f>SUM(O24:O31)</f>
        <v>942261.52749999997</v>
      </c>
      <c r="P23" s="203">
        <f>SUM(P24:P31)</f>
        <v>147397.42624999999</v>
      </c>
      <c r="Q23" s="203">
        <f>SUM(Q24:Q31)</f>
        <v>1768769.115</v>
      </c>
      <c r="R23" s="175">
        <f>SUM(R24:R31)</f>
        <v>44316.181499999999</v>
      </c>
      <c r="S23" s="203">
        <f>SUM(S24:S31)</f>
        <v>531794.17799999996</v>
      </c>
      <c r="T23" s="203">
        <f>SUM(T24:T31)</f>
        <v>26970.097921875004</v>
      </c>
      <c r="U23" s="203">
        <f>SUM(U24:U31)</f>
        <v>323641.1750625</v>
      </c>
      <c r="V23" s="203">
        <f>SUM(V24:V31)</f>
        <v>81270.056746874994</v>
      </c>
      <c r="W23" s="203">
        <f>SUM(W24:W31)</f>
        <v>975240.68096249981</v>
      </c>
      <c r="X23" s="203">
        <f>SUM(X24:X31)</f>
        <v>152556.33616874999</v>
      </c>
      <c r="Y23" s="203">
        <f>SUM(Y24:Y31)</f>
        <v>1830676.0340250002</v>
      </c>
      <c r="Z23" s="175">
        <v>46906.304806249995</v>
      </c>
      <c r="AA23" s="207">
        <v>562875.65767499991</v>
      </c>
      <c r="AB23" s="207">
        <v>28274.459724999997</v>
      </c>
      <c r="AC23" s="207">
        <v>339293.51669999992</v>
      </c>
      <c r="AD23" s="207">
        <v>83599.481687499996</v>
      </c>
      <c r="AE23" s="207">
        <v>1003193.7802499997</v>
      </c>
      <c r="AF23" s="207">
        <f>SUM(AF24:AF31)</f>
        <v>158780.24621874996</v>
      </c>
      <c r="AG23" s="206">
        <f>SUM(AG24:AG31)</f>
        <v>1905362.9546249993</v>
      </c>
      <c r="AH23" s="175">
        <v>48425.525474468741</v>
      </c>
      <c r="AI23" s="172">
        <v>581106.30569362477</v>
      </c>
      <c r="AJ23" s="172">
        <v>29229.06581537499</v>
      </c>
      <c r="AK23" s="172">
        <v>350748.78978449997</v>
      </c>
      <c r="AL23" s="172">
        <v>86490.463546562489</v>
      </c>
      <c r="AM23" s="172">
        <v>1037885.5625587497</v>
      </c>
      <c r="AN23" s="172">
        <v>164145.0548364062</v>
      </c>
      <c r="AO23" s="176">
        <v>1969740.6580368744</v>
      </c>
      <c r="AP23" s="175">
        <v>49997.918866075146</v>
      </c>
      <c r="AQ23" s="172">
        <v>599975.02639290155</v>
      </c>
      <c r="AR23" s="172">
        <v>30217.083118913117</v>
      </c>
      <c r="AS23" s="172">
        <v>362604.99742695742</v>
      </c>
      <c r="AT23" s="172">
        <v>89482.629770692161</v>
      </c>
      <c r="AU23" s="172">
        <v>1073791.557248306</v>
      </c>
      <c r="AV23" s="172">
        <v>169697.63175568043</v>
      </c>
      <c r="AW23" s="176">
        <v>2036371.5810681649</v>
      </c>
    </row>
    <row r="24" spans="1:49">
      <c r="A24" s="105" t="s">
        <v>182</v>
      </c>
      <c r="B24" s="182">
        <f>Remuneraciones!G6+Remuneraciones!G7+Remuneraciones!G10+Remuneraciones!G11+Remuneraciones!G12+Remuneraciones!G13</f>
        <v>39150</v>
      </c>
      <c r="C24" s="183">
        <f>B24*12</f>
        <v>469800</v>
      </c>
      <c r="D24" s="183">
        <f>Remuneraciones!G8+Remuneraciones!G9+Remuneraciones!G17+Remuneraciones!G18</f>
        <v>21600</v>
      </c>
      <c r="E24" s="183">
        <f>D24*12</f>
        <v>259200</v>
      </c>
      <c r="F24" s="183">
        <f>Remuneraciones!G3+Remuneraciones!G4+Remuneraciones!G5+Remuneraciones!G14+Remuneraciones!G15+Remuneraciones!G16</f>
        <v>40500</v>
      </c>
      <c r="G24" s="183">
        <f>F24*12</f>
        <v>486000</v>
      </c>
      <c r="H24" s="184">
        <f>B24+D24+F24</f>
        <v>101250</v>
      </c>
      <c r="I24" s="185">
        <f>H24*12</f>
        <v>1215000</v>
      </c>
      <c r="J24" s="182">
        <f>B24*(1+$D$2)</f>
        <v>40520.25</v>
      </c>
      <c r="K24" s="182">
        <f>J24*12</f>
        <v>486243</v>
      </c>
      <c r="L24" s="183">
        <f>D24*(1+$D$2)</f>
        <v>22356</v>
      </c>
      <c r="M24" s="183">
        <f>L24*12</f>
        <v>268272</v>
      </c>
      <c r="N24" s="183">
        <f>F24*(1+$D$2)</f>
        <v>41917.5</v>
      </c>
      <c r="O24" s="183">
        <f>N24*12</f>
        <v>503010</v>
      </c>
      <c r="P24" s="183">
        <f>J24+L24+N24</f>
        <v>104793.75</v>
      </c>
      <c r="Q24" s="186">
        <f>P24*12</f>
        <v>1257525</v>
      </c>
      <c r="R24" s="182">
        <f>J24*(1+$D$2)</f>
        <v>41938.458749999998</v>
      </c>
      <c r="S24" s="182">
        <f>R24*12</f>
        <v>503261.505</v>
      </c>
      <c r="T24" s="183">
        <f>L24*(1+$D$2)</f>
        <v>23138.46</v>
      </c>
      <c r="U24" s="183">
        <f>T24*12</f>
        <v>277661.52</v>
      </c>
      <c r="V24" s="183">
        <f>N24*(1+$D$2)</f>
        <v>43384.612499999996</v>
      </c>
      <c r="W24" s="183">
        <f>V24*12</f>
        <v>520615.35</v>
      </c>
      <c r="X24" s="183">
        <f>R24+T24+V24</f>
        <v>108461.53125</v>
      </c>
      <c r="Y24" s="186">
        <f>X24*12</f>
        <v>1301538.375</v>
      </c>
      <c r="Z24" s="182">
        <v>43406.304806249995</v>
      </c>
      <c r="AA24" s="182">
        <v>520875.65767499985</v>
      </c>
      <c r="AB24" s="183">
        <v>23948.306099999998</v>
      </c>
      <c r="AC24" s="183">
        <v>287379.67319999996</v>
      </c>
      <c r="AD24" s="183">
        <v>44903.07393749999</v>
      </c>
      <c r="AE24" s="183">
        <v>538836.88724999991</v>
      </c>
      <c r="AF24" s="183">
        <v>112257.68484374997</v>
      </c>
      <c r="AG24" s="186">
        <f>AF24*12</f>
        <v>1347092.2181249997</v>
      </c>
      <c r="AH24" s="182">
        <v>44925.525474468741</v>
      </c>
      <c r="AI24" s="182">
        <v>539106.30569362477</v>
      </c>
      <c r="AJ24" s="183">
        <v>24786.496813499994</v>
      </c>
      <c r="AK24" s="183">
        <v>297437.96176199993</v>
      </c>
      <c r="AL24" s="183">
        <v>46474.681525312488</v>
      </c>
      <c r="AM24" s="183">
        <v>557696.17830374988</v>
      </c>
      <c r="AN24" s="183">
        <v>116186.70381328123</v>
      </c>
      <c r="AO24" s="186">
        <v>1394240.4457593746</v>
      </c>
      <c r="AP24" s="182">
        <v>46497.918866075146</v>
      </c>
      <c r="AQ24" s="182">
        <v>557975.02639290155</v>
      </c>
      <c r="AR24" s="183">
        <v>25654.024201972494</v>
      </c>
      <c r="AS24" s="183">
        <v>307848.29042366991</v>
      </c>
      <c r="AT24" s="183">
        <v>48101.295378698422</v>
      </c>
      <c r="AU24" s="183">
        <v>577215.54454438109</v>
      </c>
      <c r="AV24" s="183">
        <v>120253.23844674605</v>
      </c>
      <c r="AW24" s="186">
        <v>1443038.8613609525</v>
      </c>
    </row>
    <row r="25" spans="1:49">
      <c r="A25" s="105" t="s">
        <v>183</v>
      </c>
      <c r="B25" s="182"/>
      <c r="C25" s="183">
        <f>B25*12</f>
        <v>0</v>
      </c>
      <c r="D25" s="183"/>
      <c r="E25" s="183">
        <f>D25*12</f>
        <v>0</v>
      </c>
      <c r="F25" s="187">
        <f>'Inversion Total'!C52</f>
        <v>30000</v>
      </c>
      <c r="G25" s="183">
        <f>F25*12</f>
        <v>360000</v>
      </c>
      <c r="H25" s="184">
        <f>B25+D25+F25</f>
        <v>30000</v>
      </c>
      <c r="I25" s="185">
        <f>H25*12</f>
        <v>360000</v>
      </c>
      <c r="J25" s="182">
        <f>B25*(1+$D$2)</f>
        <v>0</v>
      </c>
      <c r="K25" s="199">
        <f>J25*12</f>
        <v>0</v>
      </c>
      <c r="L25" s="183">
        <f>D25*(1+$D$2)</f>
        <v>0</v>
      </c>
      <c r="M25" s="183">
        <f>L25*12</f>
        <v>0</v>
      </c>
      <c r="N25" s="183">
        <f>F25*(1+$D$2)</f>
        <v>31049.999999999996</v>
      </c>
      <c r="O25" s="183">
        <f>N25*12</f>
        <v>372599.99999999994</v>
      </c>
      <c r="P25" s="183">
        <f>J25+L25+N25</f>
        <v>31049.999999999996</v>
      </c>
      <c r="Q25" s="186">
        <f>P25*12</f>
        <v>372599.99999999994</v>
      </c>
      <c r="R25" s="182">
        <f>J25*(1+$D$2)</f>
        <v>0</v>
      </c>
      <c r="S25" s="199">
        <f>R25*12</f>
        <v>0</v>
      </c>
      <c r="T25" s="183">
        <f>L25*(1+$D$2)</f>
        <v>0</v>
      </c>
      <c r="U25" s="183">
        <f>T25*12</f>
        <v>0</v>
      </c>
      <c r="V25" s="183">
        <f>N25*(1+$D$2)</f>
        <v>32136.749999999993</v>
      </c>
      <c r="W25" s="183">
        <f>V25*12</f>
        <v>385640.99999999988</v>
      </c>
      <c r="X25" s="183">
        <f>R25+T25+V25</f>
        <v>32136.749999999993</v>
      </c>
      <c r="Y25" s="186">
        <f>X25*12</f>
        <v>385640.99999999988</v>
      </c>
      <c r="Z25" s="182"/>
      <c r="AA25" s="196"/>
      <c r="AB25" s="183"/>
      <c r="AC25" s="183"/>
      <c r="AD25" s="183">
        <v>33261.53624999999</v>
      </c>
      <c r="AE25" s="183">
        <v>399138.43499999988</v>
      </c>
      <c r="AF25" s="183">
        <v>33261.53624999999</v>
      </c>
      <c r="AG25" s="186">
        <f>AF25*12</f>
        <v>399138.43499999988</v>
      </c>
      <c r="AH25" s="182"/>
      <c r="AI25" s="183"/>
      <c r="AJ25" s="183"/>
      <c r="AK25" s="183"/>
      <c r="AL25" s="183">
        <v>34425.690018749985</v>
      </c>
      <c r="AM25" s="183">
        <v>413108.28022499982</v>
      </c>
      <c r="AN25" s="183">
        <v>34425.690018749985</v>
      </c>
      <c r="AO25" s="186">
        <v>413108.28022499982</v>
      </c>
      <c r="AP25" s="182"/>
      <c r="AQ25" s="183"/>
      <c r="AR25" s="183"/>
      <c r="AS25" s="183"/>
      <c r="AT25" s="183">
        <v>35630.58916940623</v>
      </c>
      <c r="AU25" s="183">
        <v>427567.07003287476</v>
      </c>
      <c r="AV25" s="183">
        <v>35630.58916940623</v>
      </c>
      <c r="AW25" s="186">
        <v>427567.07003287476</v>
      </c>
    </row>
    <row r="26" spans="1:49">
      <c r="A26" s="105" t="s">
        <v>184</v>
      </c>
      <c r="B26" s="182"/>
      <c r="C26" s="183">
        <f>B26*12</f>
        <v>0</v>
      </c>
      <c r="D26" s="183"/>
      <c r="E26" s="183">
        <f>D26*12</f>
        <v>0</v>
      </c>
      <c r="F26" s="183"/>
      <c r="G26" s="183">
        <f>F26*12</f>
        <v>0</v>
      </c>
      <c r="H26" s="184">
        <f>B26+D26+F26</f>
        <v>0</v>
      </c>
      <c r="I26" s="185">
        <f>H26*12</f>
        <v>0</v>
      </c>
      <c r="J26" s="182">
        <f>B26*(1+$D$2)</f>
        <v>0</v>
      </c>
      <c r="K26" s="199">
        <f>J26*12</f>
        <v>0</v>
      </c>
      <c r="L26" s="183">
        <f>D26*(1+$D$2)</f>
        <v>0</v>
      </c>
      <c r="M26" s="183">
        <f>L26*12</f>
        <v>0</v>
      </c>
      <c r="N26" s="183">
        <f>F26*(1+$D$2)</f>
        <v>0</v>
      </c>
      <c r="O26" s="183">
        <f>N26*12</f>
        <v>0</v>
      </c>
      <c r="P26" s="183">
        <f>J26+L26+N26</f>
        <v>0</v>
      </c>
      <c r="Q26" s="186">
        <f>P26*12</f>
        <v>0</v>
      </c>
      <c r="R26" s="182">
        <f>J26*(1+$D$2)</f>
        <v>0</v>
      </c>
      <c r="S26" s="199">
        <f>R26*12</f>
        <v>0</v>
      </c>
      <c r="T26" s="183">
        <f>L26*(1+$D$2)</f>
        <v>0</v>
      </c>
      <c r="U26" s="183">
        <f>T26*12</f>
        <v>0</v>
      </c>
      <c r="V26" s="183">
        <f>N26*(1+$D$2)</f>
        <v>0</v>
      </c>
      <c r="W26" s="183">
        <f>V26*12</f>
        <v>0</v>
      </c>
      <c r="X26" s="183">
        <f>R26+T26+V26</f>
        <v>0</v>
      </c>
      <c r="Y26" s="186">
        <f>X26*12</f>
        <v>0</v>
      </c>
      <c r="Z26" s="182"/>
      <c r="AA26" s="196"/>
      <c r="AB26" s="183"/>
      <c r="AC26" s="183"/>
      <c r="AD26" s="183">
        <v>0</v>
      </c>
      <c r="AE26" s="183">
        <v>0</v>
      </c>
      <c r="AF26" s="183">
        <v>0</v>
      </c>
      <c r="AG26" s="186">
        <v>0</v>
      </c>
      <c r="AH26" s="182"/>
      <c r="AI26" s="183"/>
      <c r="AJ26" s="183"/>
      <c r="AK26" s="183"/>
      <c r="AL26" s="183">
        <v>0</v>
      </c>
      <c r="AM26" s="183">
        <v>0</v>
      </c>
      <c r="AN26" s="183">
        <v>0</v>
      </c>
      <c r="AO26" s="186">
        <v>0</v>
      </c>
      <c r="AP26" s="182"/>
      <c r="AQ26" s="183"/>
      <c r="AR26" s="183"/>
      <c r="AS26" s="183"/>
      <c r="AT26" s="183">
        <v>0</v>
      </c>
      <c r="AU26" s="183">
        <v>0</v>
      </c>
      <c r="AV26" s="183">
        <v>0</v>
      </c>
      <c r="AW26" s="186">
        <v>0</v>
      </c>
    </row>
    <row r="27" spans="1:49">
      <c r="A27" s="105" t="s">
        <v>185</v>
      </c>
      <c r="B27" s="182"/>
      <c r="C27" s="183">
        <f>B27*12</f>
        <v>0</v>
      </c>
      <c r="D27" s="187">
        <f>'Inversion Total'!C57</f>
        <v>1500</v>
      </c>
      <c r="E27" s="183">
        <f>D27*12</f>
        <v>18000</v>
      </c>
      <c r="F27" s="183"/>
      <c r="G27" s="183">
        <f>F27*12</f>
        <v>0</v>
      </c>
      <c r="H27" s="184">
        <f>B27+D27+F27</f>
        <v>1500</v>
      </c>
      <c r="I27" s="185">
        <f>H27*12</f>
        <v>18000</v>
      </c>
      <c r="J27" s="182">
        <f>B27*(1+$D$2)</f>
        <v>0</v>
      </c>
      <c r="K27" s="199">
        <f>J27*12</f>
        <v>0</v>
      </c>
      <c r="L27" s="183">
        <f>D27*(1+$D$2)</f>
        <v>1552.4999999999998</v>
      </c>
      <c r="M27" s="183">
        <f>L27*12</f>
        <v>18629.999999999996</v>
      </c>
      <c r="N27" s="183">
        <f>F27*(1+$D$2)</f>
        <v>0</v>
      </c>
      <c r="O27" s="183">
        <f>N27*12</f>
        <v>0</v>
      </c>
      <c r="P27" s="183">
        <f>J27+L27+N27</f>
        <v>1552.4999999999998</v>
      </c>
      <c r="Q27" s="186">
        <f>P27*12</f>
        <v>18629.999999999996</v>
      </c>
      <c r="R27" s="182">
        <f>J27*(1+$D$2)</f>
        <v>0</v>
      </c>
      <c r="S27" s="199">
        <f>R27*12</f>
        <v>0</v>
      </c>
      <c r="T27" s="183">
        <f>L27*(1+$D$2)</f>
        <v>1606.8374999999996</v>
      </c>
      <c r="U27" s="183">
        <f>T27*12</f>
        <v>19282.049999999996</v>
      </c>
      <c r="V27" s="183">
        <f>N27*(1+$D$2)</f>
        <v>0</v>
      </c>
      <c r="W27" s="183">
        <f>V27*12</f>
        <v>0</v>
      </c>
      <c r="X27" s="183">
        <f>R27+T27+V27</f>
        <v>1606.8374999999996</v>
      </c>
      <c r="Y27" s="186">
        <f>X27*12</f>
        <v>19282.049999999996</v>
      </c>
      <c r="Z27" s="182"/>
      <c r="AA27" s="196"/>
      <c r="AB27" s="183">
        <v>1663.0768124999995</v>
      </c>
      <c r="AC27" s="183">
        <v>19956.921749999998</v>
      </c>
      <c r="AD27" s="183">
        <v>0</v>
      </c>
      <c r="AE27" s="183">
        <v>0</v>
      </c>
      <c r="AF27" s="183">
        <v>1663.0768124999995</v>
      </c>
      <c r="AG27" s="186">
        <f>AF27*12</f>
        <v>19956.921749999994</v>
      </c>
      <c r="AH27" s="182"/>
      <c r="AI27" s="183"/>
      <c r="AJ27" s="183">
        <v>1721.2845009374994</v>
      </c>
      <c r="AK27" s="183">
        <v>20655.414011249995</v>
      </c>
      <c r="AL27" s="183">
        <v>0</v>
      </c>
      <c r="AM27" s="183">
        <v>0</v>
      </c>
      <c r="AN27" s="183">
        <v>1721.2845009374994</v>
      </c>
      <c r="AO27" s="186">
        <v>20655.414011249995</v>
      </c>
      <c r="AP27" s="182"/>
      <c r="AQ27" s="183"/>
      <c r="AR27" s="183">
        <v>1781.5294584703117</v>
      </c>
      <c r="AS27" s="183">
        <v>21378.353501643742</v>
      </c>
      <c r="AT27" s="183">
        <v>0</v>
      </c>
      <c r="AU27" s="183">
        <v>0</v>
      </c>
      <c r="AV27" s="183">
        <v>1781.5294584703117</v>
      </c>
      <c r="AW27" s="186">
        <v>21378.353501643742</v>
      </c>
    </row>
    <row r="28" spans="1:49">
      <c r="A28" s="105" t="s">
        <v>155</v>
      </c>
      <c r="B28" s="182"/>
      <c r="C28" s="183">
        <f>B28*12</f>
        <v>0</v>
      </c>
      <c r="D28" s="187">
        <f>'Inversion Total'!C54</f>
        <v>1500</v>
      </c>
      <c r="E28" s="183">
        <f>D28*12</f>
        <v>18000</v>
      </c>
      <c r="F28" s="183"/>
      <c r="G28" s="183">
        <f>F28*12</f>
        <v>0</v>
      </c>
      <c r="H28" s="184">
        <f>B28+D28+F28</f>
        <v>1500</v>
      </c>
      <c r="I28" s="185">
        <f>H28*12</f>
        <v>18000</v>
      </c>
      <c r="J28" s="182">
        <f>B28*(1+$D$2)</f>
        <v>0</v>
      </c>
      <c r="K28" s="199">
        <f>J28*12</f>
        <v>0</v>
      </c>
      <c r="L28" s="183">
        <f>D28*(1+$D$2)</f>
        <v>1552.4999999999998</v>
      </c>
      <c r="M28" s="183">
        <f>L28*12</f>
        <v>18629.999999999996</v>
      </c>
      <c r="N28" s="183">
        <f>F28*(1+$D$2)</f>
        <v>0</v>
      </c>
      <c r="O28" s="183">
        <f>N28*12</f>
        <v>0</v>
      </c>
      <c r="P28" s="183">
        <f>J28+L28+N28</f>
        <v>1552.4999999999998</v>
      </c>
      <c r="Q28" s="186">
        <f>P28*12</f>
        <v>18629.999999999996</v>
      </c>
      <c r="R28" s="182">
        <f>J28*(1+$D$2)</f>
        <v>0</v>
      </c>
      <c r="S28" s="199">
        <f>R28*12</f>
        <v>0</v>
      </c>
      <c r="T28" s="183">
        <f>L28*(1+$D$2)</f>
        <v>1606.8374999999996</v>
      </c>
      <c r="U28" s="183">
        <f>T28*12</f>
        <v>19282.049999999996</v>
      </c>
      <c r="V28" s="183">
        <f>N28*(1+$D$2)</f>
        <v>0</v>
      </c>
      <c r="W28" s="183">
        <f>V28*12</f>
        <v>0</v>
      </c>
      <c r="X28" s="183">
        <f>R28+T28+V28</f>
        <v>1606.8374999999996</v>
      </c>
      <c r="Y28" s="186">
        <f>X28*12</f>
        <v>19282.049999999996</v>
      </c>
      <c r="Z28" s="182"/>
      <c r="AA28" s="196"/>
      <c r="AB28" s="183">
        <v>1663.0768124999995</v>
      </c>
      <c r="AC28" s="183">
        <v>19956.921749999998</v>
      </c>
      <c r="AD28" s="183">
        <v>0</v>
      </c>
      <c r="AE28" s="183">
        <v>0</v>
      </c>
      <c r="AF28" s="183">
        <v>1663.0768124999995</v>
      </c>
      <c r="AG28" s="186">
        <f>AF28*12</f>
        <v>19956.921749999994</v>
      </c>
      <c r="AH28" s="182"/>
      <c r="AI28" s="183"/>
      <c r="AJ28" s="183">
        <v>1721.2845009374994</v>
      </c>
      <c r="AK28" s="183">
        <v>20655.414011249995</v>
      </c>
      <c r="AL28" s="183">
        <v>0</v>
      </c>
      <c r="AM28" s="183">
        <v>0</v>
      </c>
      <c r="AN28" s="183">
        <v>1721.2845009374994</v>
      </c>
      <c r="AO28" s="186">
        <v>20655.414011249995</v>
      </c>
      <c r="AP28" s="182"/>
      <c r="AQ28" s="183"/>
      <c r="AR28" s="183">
        <v>1781.5294584703117</v>
      </c>
      <c r="AS28" s="183">
        <v>21378.353501643742</v>
      </c>
      <c r="AT28" s="183">
        <v>0</v>
      </c>
      <c r="AU28" s="183">
        <v>0</v>
      </c>
      <c r="AV28" s="183">
        <v>1781.5294584703117</v>
      </c>
      <c r="AW28" s="186">
        <v>21378.353501643742</v>
      </c>
    </row>
    <row r="29" spans="1:49">
      <c r="A29" s="105" t="s">
        <v>98</v>
      </c>
      <c r="B29" s="182"/>
      <c r="C29" s="183">
        <f>B29*12</f>
        <v>0</v>
      </c>
      <c r="D29" s="183"/>
      <c r="E29" s="183">
        <f>D29*12</f>
        <v>0</v>
      </c>
      <c r="F29" s="188">
        <f>'Inversion Total'!C61</f>
        <v>3000</v>
      </c>
      <c r="G29" s="183">
        <f>F29*12</f>
        <v>36000</v>
      </c>
      <c r="H29" s="184">
        <f>B29+D29+F29</f>
        <v>3000</v>
      </c>
      <c r="I29" s="185">
        <f>H29*12</f>
        <v>36000</v>
      </c>
      <c r="J29" s="182">
        <f>B29*(1+$D$2)</f>
        <v>0</v>
      </c>
      <c r="K29" s="199">
        <f>J29*12</f>
        <v>0</v>
      </c>
      <c r="L29" s="183">
        <f>D29*(1+$D$2)</f>
        <v>0</v>
      </c>
      <c r="M29" s="183">
        <f>L29*12</f>
        <v>0</v>
      </c>
      <c r="N29" s="183">
        <f>F29*(1+$D$2)</f>
        <v>3104.9999999999995</v>
      </c>
      <c r="O29" s="183">
        <f>N29*12</f>
        <v>37259.999999999993</v>
      </c>
      <c r="P29" s="183">
        <f>J29+L29+N29</f>
        <v>3104.9999999999995</v>
      </c>
      <c r="Q29" s="186">
        <f>P29*12</f>
        <v>37259.999999999993</v>
      </c>
      <c r="R29" s="182">
        <f>J29*(1+$D$2)</f>
        <v>0</v>
      </c>
      <c r="S29" s="199">
        <f>R29*12</f>
        <v>0</v>
      </c>
      <c r="T29" s="183">
        <f>L29*(1+$D$2)</f>
        <v>0</v>
      </c>
      <c r="U29" s="183">
        <f>T29*12</f>
        <v>0</v>
      </c>
      <c r="V29" s="183">
        <f>N29*(1+$D$2)</f>
        <v>3213.6749999999993</v>
      </c>
      <c r="W29" s="183">
        <f>V29*12</f>
        <v>38564.099999999991</v>
      </c>
      <c r="X29" s="183">
        <f>R29+T29+V29</f>
        <v>3213.6749999999993</v>
      </c>
      <c r="Y29" s="186">
        <f>X29*12</f>
        <v>38564.099999999991</v>
      </c>
      <c r="Z29" s="182"/>
      <c r="AA29" s="196"/>
      <c r="AB29" s="183"/>
      <c r="AC29" s="183"/>
      <c r="AD29" s="183">
        <v>3326.153624999999</v>
      </c>
      <c r="AE29" s="183">
        <v>39913.843499999995</v>
      </c>
      <c r="AF29" s="183">
        <v>3326.153624999999</v>
      </c>
      <c r="AG29" s="186">
        <f>AF29*12</f>
        <v>39913.843499999988</v>
      </c>
      <c r="AH29" s="182"/>
      <c r="AI29" s="183"/>
      <c r="AJ29" s="183"/>
      <c r="AK29" s="183"/>
      <c r="AL29" s="183">
        <v>3442.5690018749988</v>
      </c>
      <c r="AM29" s="183">
        <v>41310.828022499991</v>
      </c>
      <c r="AN29" s="183">
        <v>3442.5690018749988</v>
      </c>
      <c r="AO29" s="186">
        <v>41310.828022499991</v>
      </c>
      <c r="AP29" s="182"/>
      <c r="AQ29" s="183"/>
      <c r="AR29" s="183"/>
      <c r="AS29" s="183"/>
      <c r="AT29" s="183">
        <v>3563.0589169406235</v>
      </c>
      <c r="AU29" s="183">
        <v>42756.707003287484</v>
      </c>
      <c r="AV29" s="183">
        <v>3563.0589169406235</v>
      </c>
      <c r="AW29" s="186">
        <v>42756.707003287484</v>
      </c>
    </row>
    <row r="30" spans="1:49">
      <c r="A30" s="105" t="s">
        <v>186</v>
      </c>
      <c r="B30" s="182"/>
      <c r="C30" s="183">
        <f>B30*12</f>
        <v>0</v>
      </c>
      <c r="D30" s="183"/>
      <c r="E30" s="183">
        <f>D30*12</f>
        <v>0</v>
      </c>
      <c r="F30" s="187">
        <f>'Inversion Total'!C60</f>
        <v>1000</v>
      </c>
      <c r="G30" s="183">
        <f>F30*12</f>
        <v>12000</v>
      </c>
      <c r="H30" s="184">
        <f>B30+D30+F30</f>
        <v>1000</v>
      </c>
      <c r="I30" s="185">
        <f>H30*12</f>
        <v>12000</v>
      </c>
      <c r="J30" s="182">
        <f>B30*(1+$D$2)</f>
        <v>0</v>
      </c>
      <c r="K30" s="199">
        <f>J30*12</f>
        <v>0</v>
      </c>
      <c r="L30" s="183">
        <f>D30*(1+$D$2)</f>
        <v>0</v>
      </c>
      <c r="M30" s="183">
        <f>L30*12</f>
        <v>0</v>
      </c>
      <c r="N30" s="183">
        <f>F30*(1+$D$2)</f>
        <v>1035</v>
      </c>
      <c r="O30" s="183">
        <f>N30*12</f>
        <v>12420</v>
      </c>
      <c r="P30" s="183">
        <f>J30+L30+N30</f>
        <v>1035</v>
      </c>
      <c r="Q30" s="186">
        <f>P30*12</f>
        <v>12420</v>
      </c>
      <c r="R30" s="182">
        <f>J30*(1+$D$2)</f>
        <v>0</v>
      </c>
      <c r="S30" s="199">
        <f>R30*12</f>
        <v>0</v>
      </c>
      <c r="T30" s="183">
        <f>L30*(1+$D$2)</f>
        <v>0</v>
      </c>
      <c r="U30" s="183">
        <f>T30*12</f>
        <v>0</v>
      </c>
      <c r="V30" s="183">
        <f>N30*(1+$D$2)</f>
        <v>1071.2249999999999</v>
      </c>
      <c r="W30" s="183">
        <f>V30*12</f>
        <v>12854.699999999999</v>
      </c>
      <c r="X30" s="183">
        <f>R30+T30+V30</f>
        <v>1071.2249999999999</v>
      </c>
      <c r="Y30" s="186">
        <f>X30*12</f>
        <v>12854.699999999999</v>
      </c>
      <c r="Z30" s="182"/>
      <c r="AA30" s="196"/>
      <c r="AB30" s="183"/>
      <c r="AC30" s="183"/>
      <c r="AD30" s="183">
        <v>1108.7178749999998</v>
      </c>
      <c r="AE30" s="183">
        <v>13304.614499999996</v>
      </c>
      <c r="AF30" s="183">
        <v>1108.7178749999998</v>
      </c>
      <c r="AG30" s="186">
        <f>AF30*12</f>
        <v>13304.614499999998</v>
      </c>
      <c r="AH30" s="182"/>
      <c r="AI30" s="183"/>
      <c r="AJ30" s="183"/>
      <c r="AK30" s="183"/>
      <c r="AL30" s="183">
        <v>1147.5230006249997</v>
      </c>
      <c r="AM30" s="183">
        <v>13770.276007499995</v>
      </c>
      <c r="AN30" s="183">
        <v>1147.5230006249997</v>
      </c>
      <c r="AO30" s="186">
        <v>13770.276007499995</v>
      </c>
      <c r="AP30" s="182"/>
      <c r="AQ30" s="183"/>
      <c r="AR30" s="183"/>
      <c r="AS30" s="183"/>
      <c r="AT30" s="183">
        <v>1187.6863056468746</v>
      </c>
      <c r="AU30" s="183">
        <v>14252.235667762494</v>
      </c>
      <c r="AV30" s="183">
        <v>1187.6863056468746</v>
      </c>
      <c r="AW30" s="186">
        <v>14252.235667762494</v>
      </c>
    </row>
    <row r="31" spans="1:49">
      <c r="A31" s="105" t="s">
        <v>187</v>
      </c>
      <c r="B31" s="189">
        <f>Depreciación!J14</f>
        <v>2219.6296296296296</v>
      </c>
      <c r="C31" s="196">
        <f>B31*12</f>
        <v>26635.555555555555</v>
      </c>
      <c r="D31" s="190">
        <f>Depreciación!J24</f>
        <v>576.875</v>
      </c>
      <c r="E31" s="196">
        <f>D31*12</f>
        <v>6922.5</v>
      </c>
      <c r="F31" s="190">
        <f>Depreciación!J34</f>
        <v>1366.4675925925924</v>
      </c>
      <c r="G31" s="196">
        <f>F31*12</f>
        <v>16397.611111111109</v>
      </c>
      <c r="H31" s="197">
        <f>B31+D31+F31</f>
        <v>4162.9722222222217</v>
      </c>
      <c r="I31" s="198">
        <f>H31*12</f>
        <v>49955.666666666657</v>
      </c>
      <c r="J31" s="199">
        <f>B31*(1+$D$2)</f>
        <v>2297.3166666666666</v>
      </c>
      <c r="K31" s="199">
        <f>J31*12</f>
        <v>27567.8</v>
      </c>
      <c r="L31" s="196">
        <f>D31*(1+$D$2)</f>
        <v>597.06562499999995</v>
      </c>
      <c r="M31" s="196">
        <f>L31*12</f>
        <v>7164.7874999999995</v>
      </c>
      <c r="N31" s="196">
        <f>F31*(1+$D$2)</f>
        <v>1414.293958333333</v>
      </c>
      <c r="O31" s="196">
        <f>N31*12</f>
        <v>16971.527499999997</v>
      </c>
      <c r="P31" s="196">
        <f>J31+L31+N31</f>
        <v>4308.6762499999995</v>
      </c>
      <c r="Q31" s="202">
        <f>P31*12</f>
        <v>51704.114999999991</v>
      </c>
      <c r="R31" s="199">
        <f>J31*(1+$D$2)</f>
        <v>2377.7227499999999</v>
      </c>
      <c r="S31" s="199">
        <f>R31*12</f>
        <v>28532.672999999999</v>
      </c>
      <c r="T31" s="196">
        <f>L31*(1+$D$2)</f>
        <v>617.96292187499989</v>
      </c>
      <c r="U31" s="196">
        <f>T31*12</f>
        <v>7415.5550624999987</v>
      </c>
      <c r="V31" s="196">
        <f>N31*(1+$D$2)</f>
        <v>1463.7942468749995</v>
      </c>
      <c r="W31" s="196">
        <f>V31*12</f>
        <v>17565.530962499994</v>
      </c>
      <c r="X31" s="196">
        <f>R31+T31+V31</f>
        <v>4459.4799187499993</v>
      </c>
      <c r="Y31" s="202">
        <f>X31*12</f>
        <v>53513.759024999992</v>
      </c>
      <c r="Z31" s="205">
        <v>3500</v>
      </c>
      <c r="AA31" s="204">
        <v>42000</v>
      </c>
      <c r="AB31" s="204">
        <v>1000</v>
      </c>
      <c r="AC31" s="204">
        <v>12000</v>
      </c>
      <c r="AD31" s="204">
        <v>1000</v>
      </c>
      <c r="AE31" s="204">
        <v>12000</v>
      </c>
      <c r="AF31" s="204">
        <v>5500</v>
      </c>
      <c r="AG31" s="186">
        <f>AF31*12</f>
        <v>66000</v>
      </c>
      <c r="AH31" s="189">
        <v>3500</v>
      </c>
      <c r="AI31" s="190">
        <v>42000</v>
      </c>
      <c r="AJ31" s="190">
        <v>1000</v>
      </c>
      <c r="AK31" s="190">
        <v>12000</v>
      </c>
      <c r="AL31" s="190">
        <v>1000</v>
      </c>
      <c r="AM31" s="190">
        <v>12000</v>
      </c>
      <c r="AN31" s="190">
        <v>5500</v>
      </c>
      <c r="AO31" s="191">
        <v>66000</v>
      </c>
      <c r="AP31" s="189">
        <v>3500</v>
      </c>
      <c r="AQ31" s="190">
        <v>42000</v>
      </c>
      <c r="AR31" s="190">
        <v>1000</v>
      </c>
      <c r="AS31" s="190">
        <v>12000</v>
      </c>
      <c r="AT31" s="190">
        <v>1000</v>
      </c>
      <c r="AU31" s="190">
        <v>12000</v>
      </c>
      <c r="AV31" s="190">
        <v>5500</v>
      </c>
      <c r="AW31" s="191">
        <v>66000</v>
      </c>
    </row>
    <row r="32" spans="1:49" ht="18.75">
      <c r="A32" s="115" t="s">
        <v>188</v>
      </c>
      <c r="B32" s="116">
        <f>B23+B21</f>
        <v>41369.629629629628</v>
      </c>
      <c r="C32" s="117">
        <f>C23+C21</f>
        <v>496435.55555555556</v>
      </c>
      <c r="D32" s="117">
        <f>D23+D21</f>
        <v>33926.875</v>
      </c>
      <c r="E32" s="117">
        <f>E23+E21</f>
        <v>407122.5</v>
      </c>
      <c r="F32" s="117">
        <f>F23+F21</f>
        <v>75866.467592592599</v>
      </c>
      <c r="G32" s="117">
        <f>G23+G21</f>
        <v>910397.61111111112</v>
      </c>
      <c r="H32" s="118">
        <f>H23+H21</f>
        <v>151162.97222222222</v>
      </c>
      <c r="I32" s="119">
        <f>I23+I21</f>
        <v>1813955.6666666667</v>
      </c>
      <c r="J32" s="116">
        <f>J23+J21</f>
        <v>42817.566666666666</v>
      </c>
      <c r="K32" s="116">
        <f>K23+K21</f>
        <v>513810.8</v>
      </c>
      <c r="L32" s="116">
        <f>L23+L21</f>
        <v>35114.315625000003</v>
      </c>
      <c r="M32" s="116">
        <f>M23+M21</f>
        <v>441671.78749999998</v>
      </c>
      <c r="N32" s="116">
        <f>N23+N21</f>
        <v>78521.793958333335</v>
      </c>
      <c r="O32" s="116">
        <f>O23+O21</f>
        <v>942261.52749999997</v>
      </c>
      <c r="P32" s="116">
        <f>P23+P21</f>
        <v>158145.34291666665</v>
      </c>
      <c r="Q32" s="116">
        <f>Q23+Q21</f>
        <v>1897744.115</v>
      </c>
      <c r="R32" s="116">
        <f>R23+R21</f>
        <v>44316.181499999999</v>
      </c>
      <c r="S32" s="116">
        <f>S23+S21</f>
        <v>531794.17799999996</v>
      </c>
      <c r="T32" s="116">
        <f>T23+T21</f>
        <v>76894.972921875</v>
      </c>
      <c r="U32" s="116">
        <f>U23+U21</f>
        <v>922739.67506249994</v>
      </c>
      <c r="V32" s="116">
        <f>V23+V21</f>
        <v>81270.056746874994</v>
      </c>
      <c r="W32" s="116">
        <f>W23+W21</f>
        <v>975240.68096249981</v>
      </c>
      <c r="X32" s="116">
        <f>X23+X21</f>
        <v>202481.21116874999</v>
      </c>
      <c r="Y32" s="116">
        <f>Y23+Y21</f>
        <v>2429774.5340250004</v>
      </c>
      <c r="Z32" s="116">
        <v>46906.304806249995</v>
      </c>
      <c r="AA32" s="117">
        <v>562875.65767499991</v>
      </c>
      <c r="AB32" s="117">
        <v>37975.741131249997</v>
      </c>
      <c r="AC32" s="117">
        <v>455708.89357499988</v>
      </c>
      <c r="AD32" s="117">
        <v>83599.481687499996</v>
      </c>
      <c r="AE32" s="117">
        <v>1003193.7802499997</v>
      </c>
      <c r="AF32" s="117">
        <v>168481.52762499999</v>
      </c>
      <c r="AG32" s="120">
        <f>AG23+AG21</f>
        <v>2148605.9546249993</v>
      </c>
      <c r="AH32" s="116">
        <v>48425.525474468741</v>
      </c>
      <c r="AI32" s="117">
        <v>581106.30569362477</v>
      </c>
      <c r="AJ32" s="117">
        <v>39269.892070843736</v>
      </c>
      <c r="AK32" s="117">
        <v>471238.70485012489</v>
      </c>
      <c r="AL32" s="117">
        <v>86490.463546562489</v>
      </c>
      <c r="AM32" s="117">
        <v>1037885.5625587497</v>
      </c>
      <c r="AN32" s="117">
        <v>174185.88109187494</v>
      </c>
      <c r="AO32" s="120">
        <v>2090230.5731024994</v>
      </c>
      <c r="AP32" s="116">
        <v>49997.918866075146</v>
      </c>
      <c r="AQ32" s="117">
        <v>599975.02639290155</v>
      </c>
      <c r="AR32" s="117">
        <v>40609.338293323272</v>
      </c>
      <c r="AS32" s="117">
        <v>487312.05951987923</v>
      </c>
      <c r="AT32" s="117">
        <v>89482.629770692161</v>
      </c>
      <c r="AU32" s="117">
        <v>1073791.557248306</v>
      </c>
      <c r="AV32" s="117">
        <v>180089.88693009058</v>
      </c>
      <c r="AW32" s="120">
        <v>2161078.6431610868</v>
      </c>
    </row>
    <row r="33" spans="1:49">
      <c r="A33" s="76"/>
      <c r="B33" s="101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  <c r="N33" s="76"/>
      <c r="O33" s="76"/>
      <c r="P33" s="76"/>
      <c r="Q33" s="76"/>
      <c r="R33" s="76"/>
      <c r="S33" s="76"/>
      <c r="T33" s="76"/>
      <c r="U33" s="76"/>
      <c r="V33" s="76"/>
      <c r="W33" s="76"/>
      <c r="X33" s="76"/>
      <c r="Y33" s="76"/>
      <c r="Z33" s="76"/>
      <c r="AA33" s="76"/>
      <c r="AB33" s="76"/>
      <c r="AC33" s="76"/>
      <c r="AD33" s="76"/>
      <c r="AE33" s="76"/>
      <c r="AF33" s="76"/>
      <c r="AG33" s="76"/>
      <c r="AH33" s="76"/>
      <c r="AI33" s="76"/>
      <c r="AJ33" s="76"/>
      <c r="AK33" s="76"/>
      <c r="AL33" s="76"/>
      <c r="AM33" s="76"/>
      <c r="AN33" s="76"/>
      <c r="AO33" s="76"/>
      <c r="AP33" s="76"/>
      <c r="AQ33" s="76"/>
      <c r="AR33" s="76"/>
      <c r="AS33" s="76"/>
      <c r="AT33" s="76"/>
      <c r="AU33" s="76"/>
      <c r="AV33" s="76"/>
      <c r="AW33" s="76"/>
    </row>
    <row r="34" spans="1:49">
      <c r="A34" s="76"/>
      <c r="B34" s="101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  <c r="N34" s="76"/>
      <c r="O34" s="76"/>
      <c r="P34" s="76"/>
      <c r="Q34" s="76"/>
      <c r="R34" s="76"/>
      <c r="S34" s="76"/>
      <c r="T34" s="76"/>
      <c r="U34" s="76"/>
      <c r="V34" s="76"/>
      <c r="W34" s="76"/>
      <c r="X34" s="76"/>
      <c r="Y34" s="76"/>
      <c r="Z34" s="76"/>
      <c r="AA34" s="76"/>
      <c r="AB34" s="76"/>
      <c r="AC34" s="76"/>
      <c r="AD34" s="76"/>
      <c r="AE34" s="76"/>
      <c r="AF34" s="76"/>
      <c r="AG34" s="76"/>
      <c r="AH34" s="76"/>
      <c r="AI34" s="76"/>
      <c r="AJ34" s="76"/>
      <c r="AK34" s="76"/>
      <c r="AL34" s="76"/>
      <c r="AM34" s="76"/>
      <c r="AN34" s="76"/>
      <c r="AO34" s="76"/>
      <c r="AP34" s="76"/>
      <c r="AQ34" s="76"/>
      <c r="AR34" s="76"/>
      <c r="AS34" s="76"/>
      <c r="AT34" s="76"/>
      <c r="AU34" s="76"/>
      <c r="AV34" s="76"/>
      <c r="AW34" s="76"/>
    </row>
    <row r="35" spans="1:49" ht="18.75">
      <c r="A35" s="287" t="s">
        <v>189</v>
      </c>
      <c r="B35" s="288"/>
      <c r="C35" s="288"/>
      <c r="D35" s="288"/>
      <c r="E35" s="288"/>
      <c r="F35" s="288"/>
      <c r="G35" s="288"/>
      <c r="H35" s="288"/>
      <c r="I35" s="289"/>
      <c r="J35" s="286" t="s">
        <v>190</v>
      </c>
      <c r="K35" s="286"/>
      <c r="L35" s="286"/>
      <c r="M35" s="286"/>
      <c r="N35" s="286"/>
      <c r="O35" s="286"/>
      <c r="P35" s="286"/>
      <c r="Q35" s="286"/>
      <c r="R35" s="286" t="s">
        <v>191</v>
      </c>
      <c r="S35" s="286"/>
      <c r="T35" s="286"/>
      <c r="U35" s="286"/>
      <c r="V35" s="286"/>
      <c r="W35" s="286"/>
      <c r="X35" s="286"/>
      <c r="Y35" s="286"/>
      <c r="Z35" s="286" t="s">
        <v>192</v>
      </c>
      <c r="AA35" s="286"/>
      <c r="AB35" s="286"/>
      <c r="AC35" s="286"/>
      <c r="AD35" s="286"/>
      <c r="AE35" s="286"/>
      <c r="AF35" s="286"/>
      <c r="AG35" s="286"/>
      <c r="AH35" s="286" t="s">
        <v>193</v>
      </c>
      <c r="AI35" s="286"/>
      <c r="AJ35" s="286"/>
      <c r="AK35" s="286"/>
      <c r="AL35" s="286"/>
      <c r="AM35" s="286"/>
      <c r="AN35" s="286"/>
      <c r="AO35" s="286"/>
      <c r="AP35" s="286" t="s">
        <v>194</v>
      </c>
      <c r="AQ35" s="286"/>
      <c r="AR35" s="286"/>
      <c r="AS35" s="286"/>
      <c r="AT35" s="286"/>
      <c r="AU35" s="286"/>
      <c r="AV35" s="286"/>
      <c r="AW35" s="286"/>
    </row>
    <row r="36" spans="1:49">
      <c r="A36" s="121" t="s">
        <v>195</v>
      </c>
      <c r="B36" s="166"/>
      <c r="C36" s="166"/>
      <c r="D36" s="166"/>
      <c r="E36" s="166"/>
      <c r="F36" s="166"/>
      <c r="G36" s="166"/>
      <c r="H36" s="122">
        <v>151379.98611111112</v>
      </c>
      <c r="I36" s="123">
        <v>1816559.8333333333</v>
      </c>
      <c r="J36" s="76"/>
      <c r="K36" s="76"/>
      <c r="L36" s="76"/>
      <c r="M36" s="76"/>
      <c r="N36" s="76"/>
      <c r="O36" s="101" t="s">
        <v>196</v>
      </c>
      <c r="P36" s="122">
        <f>P32</f>
        <v>158145.34291666665</v>
      </c>
      <c r="Q36" s="123">
        <f>Q32</f>
        <v>1897744.115</v>
      </c>
      <c r="R36" s="76"/>
      <c r="S36" s="76"/>
      <c r="T36" s="76"/>
      <c r="U36" s="76"/>
      <c r="V36" s="76"/>
      <c r="W36" s="101" t="s">
        <v>196</v>
      </c>
      <c r="X36" s="122">
        <f>X32</f>
        <v>202481.21116874999</v>
      </c>
      <c r="Y36" s="123">
        <f>Y32</f>
        <v>2429774.5340250004</v>
      </c>
      <c r="Z36" s="76"/>
      <c r="AA36" s="76"/>
      <c r="AB36" s="76"/>
      <c r="AC36" s="76"/>
      <c r="AD36" s="76"/>
      <c r="AE36" s="101" t="s">
        <v>196</v>
      </c>
      <c r="AF36" s="122">
        <f>AF32</f>
        <v>168481.52762499999</v>
      </c>
      <c r="AG36" s="123">
        <f>AG32</f>
        <v>2148605.9546249993</v>
      </c>
      <c r="AH36" s="76"/>
      <c r="AI36" s="76"/>
      <c r="AJ36" s="76"/>
      <c r="AK36" s="76"/>
      <c r="AL36" s="76"/>
      <c r="AM36" s="101" t="s">
        <v>196</v>
      </c>
      <c r="AN36" s="122">
        <f>AN32</f>
        <v>174185.88109187494</v>
      </c>
      <c r="AO36" s="123">
        <f>AO32</f>
        <v>2090230.5731024994</v>
      </c>
      <c r="AP36" s="76"/>
      <c r="AQ36" s="76"/>
      <c r="AR36" s="76"/>
      <c r="AS36" s="76"/>
      <c r="AT36" s="76"/>
      <c r="AU36" s="101" t="s">
        <v>196</v>
      </c>
      <c r="AV36" s="122">
        <f>AV32</f>
        <v>180089.88693009058</v>
      </c>
      <c r="AW36" s="123">
        <f>AW32</f>
        <v>2161078.6431610868</v>
      </c>
    </row>
    <row r="37" spans="1:49">
      <c r="A37" s="76" t="s">
        <v>197</v>
      </c>
      <c r="B37" s="76"/>
      <c r="C37" s="76"/>
      <c r="D37" s="76"/>
      <c r="E37" s="76"/>
      <c r="F37" s="76"/>
      <c r="G37" s="76"/>
      <c r="H37" s="192">
        <f>H36/$B$11</f>
        <v>30.275997222222223</v>
      </c>
      <c r="I37" s="192">
        <f>I36/$B$11</f>
        <v>363.31196666666665</v>
      </c>
      <c r="J37" s="76"/>
      <c r="K37" s="76"/>
      <c r="L37" s="76"/>
      <c r="M37" s="76"/>
      <c r="N37" s="76"/>
      <c r="O37" s="76"/>
      <c r="P37" s="192">
        <f>P36/$B$11</f>
        <v>31.629068583333328</v>
      </c>
      <c r="Q37" s="192">
        <f>Q36/$B$11</f>
        <v>379.54882299999997</v>
      </c>
      <c r="R37" s="76"/>
      <c r="S37" s="76"/>
      <c r="T37" s="76"/>
      <c r="U37" s="76"/>
      <c r="V37" s="76"/>
      <c r="W37" s="76"/>
      <c r="X37" s="192">
        <f>X36/$B$11</f>
        <v>40.496242233749996</v>
      </c>
      <c r="Y37" s="192">
        <f>Y36/$B$11</f>
        <v>485.95490680500006</v>
      </c>
      <c r="Z37" s="76"/>
      <c r="AA37" s="76"/>
      <c r="AB37" s="76"/>
      <c r="AC37" s="76"/>
      <c r="AD37" s="76"/>
      <c r="AE37" s="76"/>
      <c r="AF37" s="192">
        <f>AF36/$B$11</f>
        <v>33.696305525</v>
      </c>
      <c r="AG37" s="192">
        <f>AG36/$B$11</f>
        <v>429.72119092499986</v>
      </c>
      <c r="AH37" s="76"/>
      <c r="AI37" s="76"/>
      <c r="AJ37" s="76"/>
      <c r="AK37" s="76"/>
      <c r="AL37" s="76"/>
      <c r="AM37" s="76"/>
      <c r="AN37" s="192">
        <f>AN36/$B$11</f>
        <v>34.837176218374985</v>
      </c>
      <c r="AO37" s="192">
        <f>AO36/$B$11</f>
        <v>418.04611462049985</v>
      </c>
      <c r="AP37" s="76"/>
      <c r="AQ37" s="76"/>
      <c r="AR37" s="76"/>
      <c r="AS37" s="76"/>
      <c r="AT37" s="76"/>
      <c r="AU37" s="76"/>
      <c r="AV37" s="192">
        <f>AV36/$B$11</f>
        <v>36.017977386018117</v>
      </c>
      <c r="AW37" s="192">
        <f>AW36/$B$11</f>
        <v>432.21572863221735</v>
      </c>
    </row>
    <row r="38" spans="1:49">
      <c r="A38" s="124" t="s">
        <v>198</v>
      </c>
      <c r="B38" s="167"/>
      <c r="C38" s="167"/>
      <c r="D38" s="167"/>
      <c r="E38" s="167"/>
      <c r="F38" s="167"/>
      <c r="G38" s="167"/>
      <c r="H38" s="138">
        <v>0.5675</v>
      </c>
      <c r="I38" s="138">
        <f>H38</f>
        <v>0.5675</v>
      </c>
      <c r="J38" s="76"/>
      <c r="K38" s="101"/>
      <c r="L38" s="76"/>
      <c r="M38" s="76"/>
      <c r="N38" s="76" t="s">
        <v>198</v>
      </c>
      <c r="O38" s="76"/>
      <c r="P38" s="138">
        <v>0.56699999999999995</v>
      </c>
      <c r="Q38" s="138">
        <f>P38</f>
        <v>0.56699999999999995</v>
      </c>
      <c r="R38" s="76"/>
      <c r="S38" s="101"/>
      <c r="T38" s="76"/>
      <c r="U38" s="76"/>
      <c r="V38" s="76" t="s">
        <v>198</v>
      </c>
      <c r="W38" s="76"/>
      <c r="X38" s="138">
        <v>0.56699999999999995</v>
      </c>
      <c r="Y38" s="138">
        <f>X38</f>
        <v>0.56699999999999995</v>
      </c>
      <c r="Z38" s="76"/>
      <c r="AA38" s="101"/>
      <c r="AB38" s="76"/>
      <c r="AC38" s="76"/>
      <c r="AD38" s="76" t="s">
        <v>198</v>
      </c>
      <c r="AE38" s="76"/>
      <c r="AF38" s="138">
        <v>0.56699999999999995</v>
      </c>
      <c r="AG38" s="138">
        <f>AF38</f>
        <v>0.56699999999999995</v>
      </c>
      <c r="AH38" s="76"/>
      <c r="AI38" s="101"/>
      <c r="AJ38" s="76"/>
      <c r="AK38" s="76"/>
      <c r="AL38" s="76" t="s">
        <v>198</v>
      </c>
      <c r="AM38" s="76"/>
      <c r="AN38" s="138">
        <v>0.56699999999999995</v>
      </c>
      <c r="AO38" s="138">
        <f>AN38</f>
        <v>0.56699999999999995</v>
      </c>
      <c r="AP38" s="76"/>
      <c r="AQ38" s="101"/>
      <c r="AR38" s="76"/>
      <c r="AS38" s="76"/>
      <c r="AT38" s="76" t="s">
        <v>198</v>
      </c>
      <c r="AU38" s="76"/>
      <c r="AV38" s="138">
        <v>0.56699999999999995</v>
      </c>
      <c r="AW38" s="138">
        <f>AV38</f>
        <v>0.56699999999999995</v>
      </c>
    </row>
    <row r="39" spans="1:49">
      <c r="A39" s="126" t="s">
        <v>199</v>
      </c>
      <c r="B39" s="167"/>
      <c r="C39" s="167"/>
      <c r="D39" s="167"/>
      <c r="E39" s="167"/>
      <c r="F39" s="167"/>
      <c r="G39" s="167"/>
      <c r="H39" s="193">
        <f>(H37)/(1-H38)</f>
        <v>70.002305716120745</v>
      </c>
      <c r="I39" s="193">
        <f>(I37)/(1-I38)</f>
        <v>840.02766859344888</v>
      </c>
      <c r="J39" s="101"/>
      <c r="K39" s="101"/>
      <c r="L39" s="76"/>
      <c r="M39" s="76" t="s">
        <v>200</v>
      </c>
      <c r="N39" s="76"/>
      <c r="O39" s="101"/>
      <c r="P39" s="193">
        <f>(P37)/(1-P38)</f>
        <v>73.046347767513453</v>
      </c>
      <c r="Q39" s="193">
        <f>(Q37)/(1-Q38)</f>
        <v>876.55617321016155</v>
      </c>
      <c r="R39" s="101"/>
      <c r="S39" s="101"/>
      <c r="T39" s="76"/>
      <c r="U39" s="76" t="s">
        <v>200</v>
      </c>
      <c r="V39" s="76"/>
      <c r="W39" s="101"/>
      <c r="X39" s="193">
        <f>(X37)/(1-X38)</f>
        <v>93.524808853926075</v>
      </c>
      <c r="Y39" s="193">
        <f>(Y37)/(1-Y38)</f>
        <v>1122.2977062471132</v>
      </c>
      <c r="Z39" s="101"/>
      <c r="AA39" s="101"/>
      <c r="AB39" s="76"/>
      <c r="AC39" s="76" t="s">
        <v>200</v>
      </c>
      <c r="AD39" s="76"/>
      <c r="AE39" s="101"/>
      <c r="AF39" s="193">
        <f>(AF37)/(1-AF38)</f>
        <v>77.820567032332548</v>
      </c>
      <c r="AG39" s="193">
        <f>(AG37)/(1-AG38)</f>
        <v>992.42769266743608</v>
      </c>
      <c r="AH39" s="101"/>
      <c r="AI39" s="101"/>
      <c r="AJ39" s="76"/>
      <c r="AK39" s="76" t="s">
        <v>200</v>
      </c>
      <c r="AL39" s="76"/>
      <c r="AM39" s="101"/>
      <c r="AN39" s="193">
        <f>(AN37)/(1-AN38)</f>
        <v>80.455372328810583</v>
      </c>
      <c r="AO39" s="193">
        <f>(AO37)/(1-AO38)</f>
        <v>965.46446794572705</v>
      </c>
      <c r="AP39" s="101"/>
      <c r="AQ39" s="101"/>
      <c r="AR39" s="76"/>
      <c r="AS39" s="76" t="s">
        <v>200</v>
      </c>
      <c r="AT39" s="76"/>
      <c r="AU39" s="101"/>
      <c r="AV39" s="193">
        <f>(AV37)/(1-AV38)</f>
        <v>83.182395810665383</v>
      </c>
      <c r="AW39" s="193">
        <f>(AW37)/(1-AW38)</f>
        <v>998.18874972798449</v>
      </c>
    </row>
    <row r="40" spans="1:49">
      <c r="A40" s="124"/>
      <c r="B40" s="167"/>
      <c r="C40" s="167"/>
      <c r="D40" s="167"/>
      <c r="E40" s="167"/>
      <c r="F40" s="167"/>
      <c r="G40" s="167"/>
      <c r="H40" s="76"/>
      <c r="I40" s="125"/>
      <c r="J40" s="101"/>
      <c r="K40" s="101"/>
      <c r="L40" s="76"/>
      <c r="M40" s="76"/>
      <c r="N40" s="76"/>
      <c r="O40" s="76"/>
      <c r="P40" s="76"/>
      <c r="Q40" s="125"/>
      <c r="R40" s="101"/>
      <c r="S40" s="101"/>
      <c r="T40" s="76"/>
      <c r="U40" s="76"/>
      <c r="V40" s="76"/>
      <c r="W40" s="76"/>
      <c r="X40" s="76"/>
      <c r="Y40" s="125"/>
      <c r="Z40" s="101"/>
      <c r="AA40" s="101"/>
      <c r="AB40" s="76"/>
      <c r="AC40" s="76"/>
      <c r="AD40" s="76"/>
      <c r="AE40" s="76"/>
      <c r="AF40" s="76"/>
      <c r="AG40" s="125"/>
      <c r="AH40" s="101"/>
      <c r="AI40" s="101"/>
      <c r="AJ40" s="76"/>
      <c r="AK40" s="76"/>
      <c r="AL40" s="76"/>
      <c r="AM40" s="76"/>
      <c r="AN40" s="76"/>
      <c r="AO40" s="125"/>
      <c r="AP40" s="101"/>
      <c r="AQ40" s="101"/>
      <c r="AR40" s="76"/>
      <c r="AS40" s="76"/>
      <c r="AT40" s="76"/>
      <c r="AU40" s="76"/>
      <c r="AV40" s="76"/>
      <c r="AW40" s="125"/>
    </row>
    <row r="41" spans="1:49">
      <c r="A41" s="127" t="s">
        <v>201</v>
      </c>
      <c r="B41" s="168"/>
      <c r="C41" s="168"/>
      <c r="D41" s="168"/>
      <c r="E41" s="168"/>
      <c r="F41" s="168"/>
      <c r="G41" s="168"/>
      <c r="H41" s="130">
        <v>70</v>
      </c>
      <c r="I41" s="131">
        <f>H41*12</f>
        <v>840</v>
      </c>
      <c r="J41" s="132"/>
      <c r="K41" s="128"/>
      <c r="L41" s="129"/>
      <c r="M41" s="129" t="s">
        <v>202</v>
      </c>
      <c r="N41" s="129"/>
      <c r="O41" s="129"/>
      <c r="P41" s="194">
        <f>H41*(1+$D$2)</f>
        <v>72.449999999999989</v>
      </c>
      <c r="Q41" s="195">
        <f>P41*12</f>
        <v>869.39999999999986</v>
      </c>
      <c r="R41" s="132"/>
      <c r="S41" s="128"/>
      <c r="T41" s="129"/>
      <c r="U41" s="129" t="s">
        <v>202</v>
      </c>
      <c r="V41" s="129"/>
      <c r="W41" s="129"/>
      <c r="X41" s="194">
        <f>P41*(1+$D$2)</f>
        <v>74.985749999999982</v>
      </c>
      <c r="Y41" s="195">
        <f>X41*12</f>
        <v>899.82899999999972</v>
      </c>
      <c r="Z41" s="132"/>
      <c r="AA41" s="128"/>
      <c r="AB41" s="129"/>
      <c r="AC41" s="129" t="s">
        <v>202</v>
      </c>
      <c r="AD41" s="129"/>
      <c r="AE41" s="129"/>
      <c r="AF41" s="194">
        <f>X41*(1+$D$2)</f>
        <v>77.610251249999976</v>
      </c>
      <c r="AG41" s="195">
        <f>AF41*12</f>
        <v>931.32301499999971</v>
      </c>
      <c r="AH41" s="132"/>
      <c r="AI41" s="128"/>
      <c r="AJ41" s="129"/>
      <c r="AK41" s="129" t="s">
        <v>202</v>
      </c>
      <c r="AL41" s="129"/>
      <c r="AM41" s="129"/>
      <c r="AN41" s="194">
        <f>AF41*(1+$D$2)</f>
        <v>80.326610043749966</v>
      </c>
      <c r="AO41" s="195">
        <f>AN41*12</f>
        <v>963.91932052499965</v>
      </c>
      <c r="AP41" s="132"/>
      <c r="AQ41" s="128"/>
      <c r="AR41" s="129"/>
      <c r="AS41" s="129" t="s">
        <v>202</v>
      </c>
      <c r="AT41" s="129"/>
      <c r="AU41" s="129"/>
      <c r="AV41" s="194">
        <f>AN41*(1+$D$2)</f>
        <v>83.138041395281206</v>
      </c>
      <c r="AW41" s="195">
        <f>AV41*12</f>
        <v>997.65649674337442</v>
      </c>
    </row>
    <row r="42" spans="1:49">
      <c r="A42" s="76"/>
      <c r="B42" s="101"/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  <c r="N42" s="76"/>
      <c r="O42" s="76"/>
      <c r="P42" s="76"/>
      <c r="Q42" s="76"/>
      <c r="R42" s="76"/>
      <c r="S42" s="76"/>
      <c r="T42" s="76"/>
      <c r="U42" s="76"/>
      <c r="V42" s="76"/>
      <c r="W42" s="76"/>
      <c r="X42" s="76"/>
      <c r="Y42" s="76"/>
      <c r="Z42" s="76"/>
      <c r="AA42" s="76"/>
      <c r="AB42" s="76"/>
      <c r="AC42" s="76"/>
      <c r="AD42" s="76"/>
      <c r="AE42" s="76"/>
      <c r="AF42" s="76"/>
      <c r="AG42" s="76"/>
      <c r="AH42" s="76"/>
      <c r="AI42" s="76"/>
      <c r="AJ42" s="76"/>
      <c r="AK42" s="76"/>
      <c r="AL42" s="76"/>
      <c r="AM42" s="76"/>
      <c r="AN42" s="76"/>
      <c r="AO42" s="76"/>
      <c r="AP42" s="76"/>
      <c r="AQ42" s="76"/>
      <c r="AR42" s="76"/>
      <c r="AS42" s="76"/>
      <c r="AT42" s="76"/>
      <c r="AU42" s="76"/>
      <c r="AV42" s="76"/>
      <c r="AW42" s="76"/>
    </row>
    <row r="43" spans="1:49">
      <c r="A43" s="76"/>
      <c r="B43" s="101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  <c r="P43" s="76"/>
      <c r="Q43" s="76"/>
      <c r="R43" s="76"/>
      <c r="S43" s="76"/>
      <c r="T43" s="76"/>
      <c r="U43" s="76"/>
      <c r="V43" s="76"/>
      <c r="W43" s="76"/>
      <c r="X43" s="76"/>
      <c r="Y43" s="76"/>
      <c r="Z43" s="76"/>
      <c r="AA43" s="76"/>
      <c r="AB43" s="76"/>
      <c r="AC43" s="76"/>
      <c r="AD43" s="76"/>
      <c r="AE43" s="76"/>
      <c r="AF43" s="76"/>
      <c r="AG43" s="76"/>
      <c r="AH43" s="76"/>
      <c r="AI43" s="76"/>
      <c r="AJ43" s="76"/>
      <c r="AK43" s="76"/>
      <c r="AL43" s="76"/>
      <c r="AM43" s="76"/>
      <c r="AN43" s="76"/>
      <c r="AO43" s="76"/>
      <c r="AP43" s="76"/>
      <c r="AQ43" s="76"/>
      <c r="AR43" s="76"/>
      <c r="AS43" s="76"/>
      <c r="AT43" s="76"/>
      <c r="AU43" s="76"/>
      <c r="AV43" s="76"/>
      <c r="AW43" s="76"/>
    </row>
    <row r="44" spans="1:49">
      <c r="A44" s="76"/>
      <c r="B44" s="101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  <c r="N44" s="76"/>
      <c r="O44" s="76"/>
      <c r="P44" s="76"/>
      <c r="Q44" s="76"/>
      <c r="R44" s="76"/>
      <c r="S44" s="76"/>
      <c r="T44" s="76"/>
      <c r="U44" s="76"/>
      <c r="V44" s="76"/>
      <c r="W44" s="76"/>
      <c r="X44" s="76"/>
      <c r="Y44" s="76"/>
      <c r="Z44" s="76"/>
      <c r="AA44" s="76"/>
      <c r="AB44" s="76"/>
      <c r="AC44" s="76"/>
      <c r="AD44" s="76"/>
      <c r="AE44" s="76"/>
      <c r="AF44" s="76"/>
      <c r="AG44" s="76"/>
      <c r="AH44" s="76"/>
      <c r="AI44" s="76"/>
      <c r="AJ44" s="76"/>
      <c r="AK44" s="76"/>
      <c r="AL44" s="76"/>
      <c r="AM44" s="76"/>
      <c r="AN44" s="76"/>
      <c r="AO44" s="76"/>
      <c r="AP44" s="76"/>
      <c r="AQ44" s="76"/>
      <c r="AR44" s="76"/>
      <c r="AS44" s="76"/>
      <c r="AT44" s="76"/>
      <c r="AU44" s="76"/>
      <c r="AV44" s="76"/>
      <c r="AW44" s="76"/>
    </row>
    <row r="45" spans="1:49" ht="18.75">
      <c r="A45" s="286" t="s">
        <v>203</v>
      </c>
      <c r="B45" s="286"/>
      <c r="C45" s="286"/>
      <c r="D45" s="286"/>
      <c r="E45" s="286"/>
      <c r="F45" s="286"/>
      <c r="G45" s="286"/>
      <c r="H45" s="76"/>
      <c r="I45" s="76"/>
      <c r="J45" s="76"/>
      <c r="K45" s="76"/>
      <c r="L45" s="76"/>
      <c r="M45" s="76"/>
      <c r="N45" s="76"/>
      <c r="O45" s="76"/>
      <c r="P45" s="76"/>
      <c r="Q45" s="76"/>
      <c r="R45" s="76"/>
      <c r="S45" s="76"/>
      <c r="T45" s="76"/>
      <c r="U45" s="76"/>
      <c r="V45" s="76"/>
      <c r="W45" s="76"/>
      <c r="X45" s="76"/>
      <c r="Y45" s="76"/>
      <c r="Z45" s="76"/>
      <c r="AA45" s="76"/>
      <c r="AB45" s="76"/>
      <c r="AC45" s="76"/>
      <c r="AD45" s="76"/>
      <c r="AE45" s="76"/>
      <c r="AF45" s="76"/>
      <c r="AG45" s="76"/>
      <c r="AH45" s="76"/>
      <c r="AI45" s="76"/>
      <c r="AJ45" s="76"/>
      <c r="AK45" s="76"/>
      <c r="AL45" s="76"/>
      <c r="AM45" s="76"/>
      <c r="AN45" s="76"/>
      <c r="AO45" s="76"/>
      <c r="AP45" s="76"/>
      <c r="AQ45" s="76"/>
      <c r="AR45" s="76"/>
      <c r="AS45" s="76"/>
      <c r="AT45" s="76"/>
      <c r="AU45" s="76"/>
      <c r="AV45" s="76"/>
      <c r="AW45" s="76"/>
    </row>
    <row r="46" spans="1:49" ht="18.75">
      <c r="A46" s="213" t="s">
        <v>160</v>
      </c>
      <c r="B46" s="213">
        <v>2020</v>
      </c>
      <c r="C46" s="213">
        <v>2021</v>
      </c>
      <c r="D46" s="213">
        <v>2022</v>
      </c>
      <c r="E46" s="213">
        <v>2023</v>
      </c>
      <c r="F46" s="213">
        <v>2024</v>
      </c>
      <c r="G46" s="213">
        <v>2025</v>
      </c>
      <c r="H46" s="76"/>
      <c r="I46" s="76"/>
      <c r="J46" s="76"/>
      <c r="K46" s="76"/>
      <c r="L46" s="76"/>
      <c r="M46" s="76"/>
      <c r="N46" s="76"/>
      <c r="O46" s="76"/>
      <c r="P46" s="76"/>
      <c r="Q46" s="76"/>
      <c r="R46" s="76"/>
      <c r="S46" s="76"/>
      <c r="T46" s="76"/>
      <c r="U46" s="76"/>
      <c r="V46" s="76"/>
      <c r="W46" s="76"/>
      <c r="X46" s="76"/>
      <c r="Y46" s="76"/>
      <c r="Z46" s="76"/>
      <c r="AA46" s="76"/>
      <c r="AB46" s="76"/>
      <c r="AC46" s="76"/>
      <c r="AD46" s="76"/>
      <c r="AE46" s="76"/>
      <c r="AF46" s="76"/>
      <c r="AG46" s="76"/>
      <c r="AH46" s="76"/>
      <c r="AI46" s="76"/>
      <c r="AJ46" s="76"/>
      <c r="AK46" s="76"/>
      <c r="AL46" s="76"/>
      <c r="AM46" s="76"/>
      <c r="AN46" s="76"/>
      <c r="AO46" s="76"/>
      <c r="AP46" s="76"/>
      <c r="AQ46" s="76"/>
      <c r="AR46" s="76"/>
      <c r="AS46" s="76"/>
      <c r="AT46" s="76"/>
      <c r="AU46" s="76"/>
      <c r="AV46" s="76"/>
      <c r="AW46" s="76"/>
    </row>
    <row r="47" spans="1:49">
      <c r="A47" s="133" t="s">
        <v>204</v>
      </c>
      <c r="B47" s="162">
        <v>15000</v>
      </c>
      <c r="C47" s="133">
        <v>12000</v>
      </c>
      <c r="D47" s="133"/>
      <c r="E47" s="133"/>
      <c r="F47" s="133"/>
      <c r="G47" s="133"/>
      <c r="H47" s="76"/>
      <c r="I47" s="76"/>
      <c r="J47" s="76"/>
      <c r="K47" s="76"/>
      <c r="L47" s="76"/>
      <c r="M47" s="76"/>
      <c r="N47" s="76"/>
      <c r="O47" s="76"/>
      <c r="P47" s="76"/>
      <c r="Q47" s="76"/>
      <c r="R47" s="76"/>
      <c r="S47" s="76"/>
      <c r="T47" s="76"/>
      <c r="U47" s="76"/>
      <c r="V47" s="76"/>
      <c r="W47" s="76"/>
      <c r="X47" s="76"/>
      <c r="Y47" s="76"/>
      <c r="Z47" s="76"/>
      <c r="AA47" s="76"/>
      <c r="AB47" s="76"/>
      <c r="AC47" s="76"/>
      <c r="AD47" s="76"/>
      <c r="AE47" s="76"/>
      <c r="AF47" s="76"/>
      <c r="AG47" s="76"/>
      <c r="AH47" s="76"/>
      <c r="AI47" s="76"/>
      <c r="AJ47" s="76"/>
      <c r="AK47" s="76"/>
      <c r="AL47" s="76"/>
      <c r="AM47" s="76"/>
      <c r="AN47" s="76"/>
      <c r="AO47" s="76"/>
      <c r="AP47" s="76"/>
      <c r="AQ47" s="76"/>
      <c r="AR47" s="76"/>
      <c r="AS47" s="76"/>
      <c r="AT47" s="76"/>
      <c r="AU47" s="76"/>
      <c r="AV47" s="76"/>
      <c r="AW47" s="76"/>
    </row>
    <row r="48" spans="1:49">
      <c r="A48" s="76"/>
      <c r="B48" s="101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  <c r="N48" s="76"/>
      <c r="O48" s="76"/>
      <c r="P48" s="76"/>
      <c r="Q48" s="76"/>
      <c r="R48" s="76"/>
      <c r="S48" s="76"/>
      <c r="T48" s="76"/>
      <c r="U48" s="76"/>
      <c r="V48" s="76"/>
      <c r="W48" s="76"/>
      <c r="X48" s="76"/>
      <c r="Y48" s="76"/>
      <c r="Z48" s="76"/>
      <c r="AA48" s="76"/>
      <c r="AB48" s="76"/>
      <c r="AC48" s="76"/>
      <c r="AD48" s="76"/>
      <c r="AE48" s="76"/>
      <c r="AF48" s="76"/>
      <c r="AG48" s="76"/>
      <c r="AH48" s="76"/>
      <c r="AI48" s="76"/>
      <c r="AJ48" s="76"/>
      <c r="AK48" s="76"/>
      <c r="AL48" s="76"/>
      <c r="AM48" s="76"/>
      <c r="AN48" s="76"/>
      <c r="AO48" s="76"/>
      <c r="AP48" s="76"/>
      <c r="AQ48" s="76"/>
      <c r="AR48" s="76"/>
      <c r="AS48" s="76"/>
      <c r="AT48" s="76"/>
      <c r="AU48" s="76"/>
      <c r="AV48" s="76"/>
      <c r="AW48" s="76"/>
    </row>
    <row r="49" spans="1:49">
      <c r="A49" s="76"/>
      <c r="B49" s="101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  <c r="N49" s="76"/>
      <c r="O49" s="76"/>
      <c r="P49" s="76"/>
      <c r="Q49" s="76"/>
      <c r="R49" s="76"/>
      <c r="S49" s="76"/>
      <c r="T49" s="76"/>
      <c r="U49" s="76"/>
      <c r="V49" s="76"/>
      <c r="W49" s="76"/>
      <c r="X49" s="76"/>
      <c r="Y49" s="76"/>
      <c r="Z49" s="76"/>
      <c r="AA49" s="76"/>
      <c r="AB49" s="76"/>
      <c r="AC49" s="76"/>
      <c r="AD49" s="76"/>
      <c r="AE49" s="76"/>
      <c r="AF49" s="76"/>
      <c r="AG49" s="76"/>
      <c r="AH49" s="76"/>
      <c r="AI49" s="76"/>
      <c r="AJ49" s="76"/>
      <c r="AK49" s="76"/>
      <c r="AL49" s="76"/>
      <c r="AM49" s="76"/>
      <c r="AN49" s="76"/>
      <c r="AO49" s="76"/>
      <c r="AP49" s="76"/>
      <c r="AQ49" s="76"/>
      <c r="AR49" s="76"/>
      <c r="AS49" s="76"/>
      <c r="AT49" s="76"/>
      <c r="AU49" s="76"/>
      <c r="AV49" s="76"/>
      <c r="AW49" s="76"/>
    </row>
    <row r="50" spans="1:49">
      <c r="A50" s="76"/>
      <c r="B50" s="101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  <c r="N50" s="76"/>
      <c r="O50" s="76"/>
      <c r="P50" s="76"/>
      <c r="Q50" s="76"/>
      <c r="R50" s="76"/>
      <c r="S50" s="76"/>
      <c r="T50" s="76"/>
      <c r="U50" s="76"/>
      <c r="V50" s="76"/>
      <c r="W50" s="76"/>
      <c r="X50" s="76"/>
      <c r="Y50" s="76"/>
      <c r="Z50" s="76"/>
      <c r="AA50" s="76"/>
      <c r="AB50" s="76"/>
      <c r="AC50" s="76"/>
      <c r="AD50" s="76"/>
      <c r="AE50" s="76"/>
      <c r="AF50" s="76"/>
      <c r="AG50" s="76"/>
      <c r="AH50" s="76"/>
      <c r="AI50" s="76"/>
      <c r="AJ50" s="76"/>
      <c r="AK50" s="76"/>
      <c r="AL50" s="76"/>
      <c r="AM50" s="76"/>
      <c r="AN50" s="76"/>
      <c r="AO50" s="76"/>
      <c r="AP50" s="76"/>
      <c r="AQ50" s="76"/>
      <c r="AR50" s="76"/>
      <c r="AS50" s="76"/>
      <c r="AT50" s="76"/>
      <c r="AU50" s="76"/>
      <c r="AV50" s="76"/>
      <c r="AW50" s="76"/>
    </row>
    <row r="51" spans="1:49">
      <c r="A51" s="76"/>
      <c r="B51" s="101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  <c r="N51" s="76"/>
      <c r="O51" s="76"/>
      <c r="P51" s="76"/>
      <c r="Q51" s="76"/>
      <c r="R51" s="76"/>
      <c r="S51" s="76"/>
      <c r="T51" s="76"/>
      <c r="U51" s="76"/>
      <c r="V51" s="76"/>
      <c r="W51" s="76"/>
      <c r="X51" s="76"/>
      <c r="Y51" s="76"/>
      <c r="Z51" s="76"/>
      <c r="AA51" s="76"/>
      <c r="AB51" s="76"/>
      <c r="AC51" s="76"/>
      <c r="AD51" s="76"/>
      <c r="AE51" s="76"/>
      <c r="AF51" s="76"/>
      <c r="AG51" s="76"/>
      <c r="AH51" s="76"/>
      <c r="AI51" s="76"/>
      <c r="AJ51" s="76"/>
      <c r="AK51" s="76"/>
      <c r="AL51" s="76"/>
      <c r="AM51" s="76"/>
      <c r="AN51" s="76"/>
      <c r="AO51" s="76"/>
      <c r="AP51" s="76"/>
      <c r="AQ51" s="76"/>
      <c r="AR51" s="76"/>
      <c r="AS51" s="76"/>
      <c r="AT51" s="76"/>
      <c r="AU51" s="76"/>
      <c r="AV51" s="76"/>
      <c r="AW51" s="76"/>
    </row>
    <row r="52" spans="1:49">
      <c r="A52" s="76"/>
      <c r="B52" s="101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  <c r="N52" s="76"/>
      <c r="O52" s="76"/>
      <c r="P52" s="76"/>
      <c r="Q52" s="76"/>
      <c r="R52" s="76"/>
      <c r="S52" s="76"/>
      <c r="T52" s="76"/>
      <c r="U52" s="76"/>
      <c r="V52" s="76"/>
      <c r="W52" s="76"/>
      <c r="X52" s="76"/>
      <c r="Y52" s="76"/>
      <c r="Z52" s="76"/>
      <c r="AA52" s="76"/>
      <c r="AB52" s="76"/>
      <c r="AC52" s="76"/>
      <c r="AD52" s="76"/>
      <c r="AE52" s="76"/>
      <c r="AF52" s="76"/>
      <c r="AG52" s="76"/>
      <c r="AH52" s="76"/>
      <c r="AI52" s="76"/>
      <c r="AJ52" s="76"/>
      <c r="AK52" s="76"/>
      <c r="AL52" s="76"/>
      <c r="AM52" s="76"/>
      <c r="AN52" s="76"/>
      <c r="AO52" s="76"/>
      <c r="AP52" s="76"/>
      <c r="AQ52" s="76"/>
      <c r="AR52" s="76"/>
      <c r="AS52" s="76"/>
      <c r="AT52" s="76"/>
      <c r="AU52" s="76"/>
      <c r="AV52" s="76"/>
      <c r="AW52" s="76"/>
    </row>
    <row r="53" spans="1:49">
      <c r="A53" s="76"/>
      <c r="B53" s="101"/>
      <c r="C53" s="76"/>
      <c r="D53" s="76"/>
      <c r="E53" s="76"/>
      <c r="F53" s="76"/>
      <c r="G53" s="76"/>
      <c r="H53" s="76"/>
      <c r="I53" s="76"/>
      <c r="J53" s="76"/>
      <c r="K53" s="76"/>
      <c r="L53" s="76"/>
      <c r="M53" s="76"/>
      <c r="N53" s="76"/>
      <c r="O53" s="76"/>
      <c r="P53" s="76"/>
      <c r="Q53" s="76"/>
      <c r="R53" s="76"/>
      <c r="S53" s="76"/>
      <c r="T53" s="76"/>
      <c r="U53" s="76"/>
      <c r="V53" s="76"/>
      <c r="W53" s="76"/>
      <c r="X53" s="76"/>
      <c r="Y53" s="76"/>
      <c r="Z53" s="76"/>
      <c r="AA53" s="76"/>
      <c r="AB53" s="76"/>
      <c r="AC53" s="76"/>
      <c r="AD53" s="76"/>
      <c r="AE53" s="76"/>
      <c r="AF53" s="76"/>
      <c r="AG53" s="76"/>
      <c r="AH53" s="76"/>
      <c r="AI53" s="76"/>
      <c r="AJ53" s="76"/>
      <c r="AK53" s="76"/>
      <c r="AL53" s="76"/>
      <c r="AM53" s="76"/>
      <c r="AN53" s="76"/>
      <c r="AO53" s="76"/>
      <c r="AP53" s="76"/>
      <c r="AQ53" s="76"/>
      <c r="AR53" s="76"/>
      <c r="AS53" s="76"/>
      <c r="AT53" s="76"/>
      <c r="AU53" s="76"/>
      <c r="AV53" s="76"/>
      <c r="AW53" s="76"/>
    </row>
    <row r="54" spans="1:49">
      <c r="A54" s="76"/>
      <c r="B54" s="101"/>
      <c r="C54" s="76"/>
      <c r="D54" s="76"/>
      <c r="E54" s="76"/>
      <c r="F54" s="76"/>
      <c r="G54" s="76"/>
      <c r="H54" s="76"/>
      <c r="I54" s="76"/>
      <c r="J54" s="76"/>
      <c r="K54" s="76"/>
      <c r="L54" s="76"/>
      <c r="M54" s="76"/>
      <c r="N54" s="76"/>
      <c r="O54" s="76"/>
      <c r="P54" s="76"/>
      <c r="Q54" s="76"/>
      <c r="R54" s="76"/>
      <c r="S54" s="76"/>
      <c r="T54" s="76"/>
      <c r="U54" s="76"/>
      <c r="V54" s="76"/>
      <c r="W54" s="76"/>
      <c r="X54" s="76"/>
      <c r="Y54" s="76"/>
      <c r="Z54" s="76"/>
      <c r="AA54" s="76"/>
      <c r="AB54" s="76"/>
      <c r="AC54" s="76"/>
      <c r="AD54" s="76"/>
      <c r="AE54" s="76"/>
      <c r="AF54" s="76"/>
      <c r="AG54" s="76"/>
      <c r="AH54" s="76"/>
      <c r="AI54" s="76"/>
      <c r="AJ54" s="76"/>
      <c r="AK54" s="76"/>
      <c r="AL54" s="76"/>
      <c r="AM54" s="76"/>
      <c r="AN54" s="76"/>
      <c r="AO54" s="76"/>
      <c r="AP54" s="76"/>
      <c r="AQ54" s="76"/>
      <c r="AR54" s="76"/>
      <c r="AS54" s="76"/>
      <c r="AT54" s="76"/>
      <c r="AU54" s="76"/>
      <c r="AV54" s="76"/>
      <c r="AW54" s="76"/>
    </row>
    <row r="55" spans="1:49">
      <c r="A55" s="76"/>
      <c r="B55" s="101"/>
      <c r="C55" s="76"/>
      <c r="D55" s="76"/>
      <c r="E55" s="76"/>
      <c r="F55" s="76"/>
      <c r="G55" s="76"/>
      <c r="H55" s="76"/>
      <c r="I55" s="76"/>
      <c r="J55" s="76"/>
      <c r="K55" s="76"/>
      <c r="L55" s="76"/>
      <c r="M55" s="76"/>
      <c r="N55" s="76"/>
      <c r="O55" s="76"/>
      <c r="P55" s="76"/>
      <c r="Q55" s="76"/>
      <c r="R55" s="76"/>
      <c r="S55" s="76"/>
      <c r="T55" s="76"/>
      <c r="U55" s="76"/>
      <c r="V55" s="76"/>
      <c r="W55" s="76"/>
      <c r="X55" s="76"/>
      <c r="Y55" s="76"/>
      <c r="Z55" s="76"/>
      <c r="AA55" s="76"/>
      <c r="AB55" s="76"/>
      <c r="AC55" s="76"/>
      <c r="AD55" s="76"/>
      <c r="AE55" s="76"/>
      <c r="AF55" s="76"/>
      <c r="AG55" s="76"/>
      <c r="AH55" s="76"/>
      <c r="AI55" s="76"/>
      <c r="AJ55" s="76"/>
      <c r="AK55" s="76"/>
      <c r="AL55" s="76"/>
      <c r="AM55" s="76"/>
      <c r="AN55" s="76"/>
      <c r="AO55" s="76"/>
      <c r="AP55" s="76"/>
      <c r="AQ55" s="76"/>
      <c r="AR55" s="76"/>
      <c r="AS55" s="76"/>
      <c r="AT55" s="76"/>
      <c r="AU55" s="76"/>
      <c r="AV55" s="76"/>
      <c r="AW55" s="76"/>
    </row>
    <row r="56" spans="1:49">
      <c r="A56" s="76"/>
      <c r="B56" s="101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  <c r="N56" s="76"/>
      <c r="O56" s="76"/>
      <c r="P56" s="76"/>
      <c r="Q56" s="76"/>
      <c r="R56" s="76"/>
      <c r="S56" s="76"/>
      <c r="T56" s="76"/>
      <c r="U56" s="76"/>
      <c r="V56" s="76"/>
      <c r="W56" s="76"/>
      <c r="X56" s="76"/>
      <c r="Y56" s="76"/>
      <c r="Z56" s="76"/>
      <c r="AA56" s="76"/>
      <c r="AB56" s="76"/>
      <c r="AC56" s="76"/>
      <c r="AD56" s="76"/>
      <c r="AE56" s="76"/>
      <c r="AF56" s="76"/>
      <c r="AG56" s="76"/>
      <c r="AH56" s="76"/>
      <c r="AI56" s="76"/>
      <c r="AJ56" s="76"/>
      <c r="AK56" s="76"/>
      <c r="AL56" s="76"/>
      <c r="AM56" s="76"/>
      <c r="AN56" s="76"/>
      <c r="AO56" s="76"/>
      <c r="AP56" s="76"/>
      <c r="AQ56" s="76"/>
      <c r="AR56" s="76"/>
      <c r="AS56" s="76"/>
      <c r="AT56" s="76"/>
      <c r="AU56" s="76"/>
      <c r="AV56" s="76"/>
      <c r="AW56" s="76"/>
    </row>
    <row r="57" spans="1:49">
      <c r="A57" s="76"/>
      <c r="B57" s="101"/>
      <c r="C57" s="76"/>
      <c r="D57" s="76"/>
      <c r="E57" s="76"/>
      <c r="F57" s="76"/>
      <c r="G57" s="76"/>
      <c r="H57" s="76"/>
      <c r="I57" s="76"/>
      <c r="J57" s="76"/>
      <c r="K57" s="76"/>
      <c r="L57" s="76"/>
      <c r="M57" s="76"/>
      <c r="N57" s="76"/>
      <c r="O57" s="76"/>
      <c r="P57" s="76"/>
      <c r="Q57" s="76"/>
      <c r="R57" s="76"/>
      <c r="S57" s="76"/>
      <c r="T57" s="76"/>
      <c r="U57" s="76"/>
      <c r="V57" s="76"/>
      <c r="W57" s="76"/>
      <c r="X57" s="76"/>
      <c r="Y57" s="76"/>
      <c r="Z57" s="76"/>
      <c r="AA57" s="76"/>
      <c r="AB57" s="76"/>
      <c r="AC57" s="76"/>
      <c r="AD57" s="76"/>
      <c r="AE57" s="76"/>
      <c r="AF57" s="76"/>
      <c r="AG57" s="76"/>
      <c r="AH57" s="76"/>
      <c r="AI57" s="76"/>
      <c r="AJ57" s="76"/>
      <c r="AK57" s="76"/>
      <c r="AL57" s="76"/>
      <c r="AM57" s="76"/>
      <c r="AN57" s="76"/>
      <c r="AO57" s="76"/>
      <c r="AP57" s="76"/>
      <c r="AQ57" s="76"/>
      <c r="AR57" s="76"/>
      <c r="AS57" s="76"/>
      <c r="AT57" s="76"/>
      <c r="AU57" s="76"/>
      <c r="AV57" s="76"/>
      <c r="AW57" s="76"/>
    </row>
    <row r="58" spans="1:49">
      <c r="A58" s="76"/>
      <c r="B58" s="76"/>
      <c r="C58" s="76"/>
      <c r="D58" s="76"/>
      <c r="E58" s="76"/>
      <c r="F58" s="76"/>
      <c r="G58" s="76"/>
      <c r="H58" s="76"/>
      <c r="I58" s="76"/>
      <c r="J58" s="76"/>
      <c r="K58" s="76"/>
      <c r="L58" s="76"/>
      <c r="M58" s="76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6"/>
      <c r="AG58" s="76"/>
      <c r="AH58" s="76"/>
      <c r="AI58" s="76"/>
      <c r="AJ58" s="76"/>
      <c r="AK58" s="76"/>
      <c r="AL58" s="76"/>
      <c r="AM58" s="76"/>
      <c r="AN58" s="76"/>
      <c r="AO58" s="76"/>
      <c r="AP58" s="76"/>
      <c r="AQ58" s="76"/>
      <c r="AR58" s="76"/>
      <c r="AS58" s="76"/>
      <c r="AT58" s="76"/>
      <c r="AU58" s="76"/>
      <c r="AV58" s="76"/>
      <c r="AW58" s="76"/>
    </row>
  </sheetData>
  <mergeCells count="73">
    <mergeCell ref="AH35:AO35"/>
    <mergeCell ref="AP35:AW35"/>
    <mergeCell ref="A35:I35"/>
    <mergeCell ref="J35:Q35"/>
    <mergeCell ref="A45:G45"/>
    <mergeCell ref="R35:Y35"/>
    <mergeCell ref="Z35:AG35"/>
    <mergeCell ref="J19:K19"/>
    <mergeCell ref="P19:P20"/>
    <mergeCell ref="T19:U19"/>
    <mergeCell ref="V19:W19"/>
    <mergeCell ref="L19:M19"/>
    <mergeCell ref="N19:O19"/>
    <mergeCell ref="A19:A20"/>
    <mergeCell ref="D19:E19"/>
    <mergeCell ref="F19:G19"/>
    <mergeCell ref="H19:H20"/>
    <mergeCell ref="I19:I20"/>
    <mergeCell ref="B19:C19"/>
    <mergeCell ref="L5:M5"/>
    <mergeCell ref="H6:I6"/>
    <mergeCell ref="J6:K6"/>
    <mergeCell ref="L6:M6"/>
    <mergeCell ref="H10:I10"/>
    <mergeCell ref="J10:K10"/>
    <mergeCell ref="L10:M10"/>
    <mergeCell ref="B18:I18"/>
    <mergeCell ref="J18:Q18"/>
    <mergeCell ref="A2:C2"/>
    <mergeCell ref="A4:E4"/>
    <mergeCell ref="H5:I5"/>
    <mergeCell ref="J5:K5"/>
    <mergeCell ref="H11:I11"/>
    <mergeCell ref="J11:K11"/>
    <mergeCell ref="D10:E10"/>
    <mergeCell ref="B11:C11"/>
    <mergeCell ref="D11:E11"/>
    <mergeCell ref="B10:C10"/>
    <mergeCell ref="A5:A7"/>
    <mergeCell ref="B5:C5"/>
    <mergeCell ref="F11:G11"/>
    <mergeCell ref="F10:G10"/>
    <mergeCell ref="L11:M11"/>
    <mergeCell ref="H12:I12"/>
    <mergeCell ref="J12:K12"/>
    <mergeCell ref="L12:M12"/>
    <mergeCell ref="A17:I17"/>
    <mergeCell ref="B12:C12"/>
    <mergeCell ref="D12:E12"/>
    <mergeCell ref="F12:G12"/>
    <mergeCell ref="Z18:AG18"/>
    <mergeCell ref="Q19:Q20"/>
    <mergeCell ref="R19:S19"/>
    <mergeCell ref="AB19:AC19"/>
    <mergeCell ref="AD19:AE19"/>
    <mergeCell ref="AF19:AF20"/>
    <mergeCell ref="AG19:AG20"/>
    <mergeCell ref="R18:Y18"/>
    <mergeCell ref="X19:X20"/>
    <mergeCell ref="Y19:Y20"/>
    <mergeCell ref="Z19:AA19"/>
    <mergeCell ref="AH18:AO18"/>
    <mergeCell ref="AH19:AI19"/>
    <mergeCell ref="AN19:AN20"/>
    <mergeCell ref="AO19:AO20"/>
    <mergeCell ref="AJ19:AK19"/>
    <mergeCell ref="AL19:AM19"/>
    <mergeCell ref="AP18:AW18"/>
    <mergeCell ref="AP19:AQ19"/>
    <mergeCell ref="AR19:AS19"/>
    <mergeCell ref="AT19:AU19"/>
    <mergeCell ref="AV19:AV20"/>
    <mergeCell ref="AW19:AW20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3BEEF9-3530-47C9-BF83-D5F494E636A0}">
  <dimension ref="B1:Z6"/>
  <sheetViews>
    <sheetView tabSelected="1" topLeftCell="D1" workbookViewId="0">
      <selection activeCell="F5" sqref="F5"/>
    </sheetView>
  </sheetViews>
  <sheetFormatPr defaultColWidth="8.88671875" defaultRowHeight="15"/>
  <cols>
    <col min="3" max="3" width="9" bestFit="1" customWidth="1"/>
    <col min="4" max="4" width="12.44140625" bestFit="1" customWidth="1"/>
    <col min="5" max="5" width="10" bestFit="1" customWidth="1"/>
    <col min="6" max="6" width="13.44140625" bestFit="1" customWidth="1"/>
    <col min="7" max="7" width="9" bestFit="1" customWidth="1"/>
    <col min="8" max="8" width="12.44140625" bestFit="1" customWidth="1"/>
    <col min="9" max="9" width="10" bestFit="1" customWidth="1"/>
    <col min="10" max="10" width="13.44140625" bestFit="1" customWidth="1"/>
    <col min="11" max="11" width="9" bestFit="1" customWidth="1"/>
    <col min="12" max="12" width="12.44140625" bestFit="1" customWidth="1"/>
    <col min="13" max="13" width="10" bestFit="1" customWidth="1"/>
    <col min="14" max="14" width="13.44140625" bestFit="1" customWidth="1"/>
    <col min="15" max="15" width="9" bestFit="1" customWidth="1"/>
    <col min="16" max="16" width="12.44140625" bestFit="1" customWidth="1"/>
    <col min="17" max="17" width="10" bestFit="1" customWidth="1"/>
    <col min="18" max="18" width="13.44140625" bestFit="1" customWidth="1"/>
    <col min="19" max="19" width="9" bestFit="1" customWidth="1"/>
    <col min="20" max="20" width="12.44140625" bestFit="1" customWidth="1"/>
    <col min="21" max="21" width="10" bestFit="1" customWidth="1"/>
    <col min="22" max="22" width="13.44140625" bestFit="1" customWidth="1"/>
    <col min="23" max="23" width="9" bestFit="1" customWidth="1"/>
    <col min="24" max="24" width="12.44140625" bestFit="1" customWidth="1"/>
    <col min="25" max="25" width="10" bestFit="1" customWidth="1"/>
    <col min="26" max="26" width="13.44140625" bestFit="1" customWidth="1"/>
  </cols>
  <sheetData>
    <row r="1" spans="2:26" ht="15.75" thickBot="1">
      <c r="B1" s="76"/>
      <c r="C1" s="295" t="s">
        <v>205</v>
      </c>
      <c r="D1" s="295"/>
      <c r="E1" s="295"/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</row>
    <row r="2" spans="2:26" ht="15.75" thickBot="1">
      <c r="B2" s="76"/>
      <c r="C2" s="296">
        <v>2020</v>
      </c>
      <c r="D2" s="292"/>
      <c r="E2" s="292"/>
      <c r="F2" s="292"/>
      <c r="G2" s="292">
        <v>2021</v>
      </c>
      <c r="H2" s="292"/>
      <c r="I2" s="292"/>
      <c r="J2" s="292"/>
      <c r="K2" s="292">
        <v>2022</v>
      </c>
      <c r="L2" s="292"/>
      <c r="M2" s="292"/>
      <c r="N2" s="292"/>
      <c r="O2" s="292">
        <v>2023</v>
      </c>
      <c r="P2" s="292"/>
      <c r="Q2" s="292"/>
      <c r="R2" s="292"/>
      <c r="S2" s="292">
        <v>2024</v>
      </c>
      <c r="T2" s="292"/>
      <c r="U2" s="292"/>
      <c r="V2" s="293"/>
      <c r="W2" s="292">
        <v>2025</v>
      </c>
      <c r="X2" s="292"/>
      <c r="Y2" s="292"/>
      <c r="Z2" s="293"/>
    </row>
    <row r="3" spans="2:26">
      <c r="B3" s="76"/>
      <c r="C3" s="297" t="s">
        <v>206</v>
      </c>
      <c r="D3" s="298"/>
      <c r="E3" s="291" t="s">
        <v>207</v>
      </c>
      <c r="F3" s="291"/>
      <c r="G3" s="290" t="s">
        <v>206</v>
      </c>
      <c r="H3" s="290"/>
      <c r="I3" s="291" t="s">
        <v>207</v>
      </c>
      <c r="J3" s="291"/>
      <c r="K3" s="290" t="s">
        <v>206</v>
      </c>
      <c r="L3" s="290"/>
      <c r="M3" s="291" t="s">
        <v>207</v>
      </c>
      <c r="N3" s="291"/>
      <c r="O3" s="290" t="s">
        <v>206</v>
      </c>
      <c r="P3" s="290"/>
      <c r="Q3" s="291" t="s">
        <v>207</v>
      </c>
      <c r="R3" s="291"/>
      <c r="S3" s="290" t="s">
        <v>206</v>
      </c>
      <c r="T3" s="290"/>
      <c r="U3" s="291" t="s">
        <v>207</v>
      </c>
      <c r="V3" s="294"/>
      <c r="W3" s="290" t="s">
        <v>206</v>
      </c>
      <c r="X3" s="290"/>
      <c r="Y3" s="291" t="s">
        <v>207</v>
      </c>
      <c r="Z3" s="294"/>
    </row>
    <row r="4" spans="2:26" ht="15.75" thickBot="1">
      <c r="B4" s="76"/>
      <c r="C4" s="163" t="s">
        <v>208</v>
      </c>
      <c r="D4" s="164" t="s">
        <v>209</v>
      </c>
      <c r="E4" s="164" t="s">
        <v>208</v>
      </c>
      <c r="F4" s="164" t="s">
        <v>209</v>
      </c>
      <c r="G4" s="164" t="s">
        <v>208</v>
      </c>
      <c r="H4" s="164" t="s">
        <v>209</v>
      </c>
      <c r="I4" s="164" t="s">
        <v>208</v>
      </c>
      <c r="J4" s="164" t="s">
        <v>209</v>
      </c>
      <c r="K4" s="164" t="s">
        <v>208</v>
      </c>
      <c r="L4" s="164" t="s">
        <v>209</v>
      </c>
      <c r="M4" s="164" t="s">
        <v>208</v>
      </c>
      <c r="N4" s="164" t="s">
        <v>209</v>
      </c>
      <c r="O4" s="164" t="s">
        <v>208</v>
      </c>
      <c r="P4" s="164" t="s">
        <v>209</v>
      </c>
      <c r="Q4" s="164" t="s">
        <v>208</v>
      </c>
      <c r="R4" s="164" t="s">
        <v>209</v>
      </c>
      <c r="S4" s="164" t="s">
        <v>208</v>
      </c>
      <c r="T4" s="164" t="s">
        <v>209</v>
      </c>
      <c r="U4" s="164" t="s">
        <v>208</v>
      </c>
      <c r="V4" s="165" t="s">
        <v>209</v>
      </c>
      <c r="W4" s="164" t="s">
        <v>208</v>
      </c>
      <c r="X4" s="164" t="s">
        <v>209</v>
      </c>
      <c r="Y4" s="164" t="s">
        <v>208</v>
      </c>
      <c r="Z4" s="165" t="s">
        <v>209</v>
      </c>
    </row>
    <row r="5" spans="2:26" ht="15.75" thickTop="1">
      <c r="B5" s="76"/>
      <c r="C5" s="192">
        <f>E5/12</f>
        <v>3084.9586167800458</v>
      </c>
      <c r="D5" s="200">
        <f>F5/12</f>
        <v>215947.10317460319</v>
      </c>
      <c r="E5" s="192">
        <f>'Costos, Gastos y Precio'!$I$32 / ('Costos, Gastos y Precio'!$H$41 - 'Costos, Gastos y Precio'!$B$10)</f>
        <v>37019.503401360547</v>
      </c>
      <c r="F5" s="201">
        <f>E5 * 'Costos, Gastos y Precio'!$H$41</f>
        <v>2591365.2380952383</v>
      </c>
      <c r="G5" s="192">
        <f>I5/12</f>
        <v>3227.4559778911571</v>
      </c>
      <c r="H5" s="201">
        <f>J5/12</f>
        <v>233829.1855982143</v>
      </c>
      <c r="I5" s="192">
        <f>'Costos, Gastos y Precio'!$Q$32 / ('Costos, Gastos y Precio'!$P$41 - 'Costos, Gastos y Precio'!$D$10)</f>
        <v>38729.471734693885</v>
      </c>
      <c r="J5" s="201">
        <f>I5 * 'Costos, Gastos y Precio'!$P$41</f>
        <v>2805950.2271785717</v>
      </c>
      <c r="K5" s="192">
        <f>M5/12</f>
        <v>4125.0507768293264</v>
      </c>
      <c r="L5" s="201">
        <f>N5/12</f>
        <v>309320.02628862957</v>
      </c>
      <c r="M5" s="192">
        <f>'Costos, Gastos y Precio'!$Y$32 / ('Costos, Gastos y Precio'!$X$41 - 'Costos, Gastos y Precio'!$F$10)</f>
        <v>49500.609321951917</v>
      </c>
      <c r="N5" s="201">
        <f>M5 * 'Costos, Gastos y Precio'!$X$41</f>
        <v>3711840.315463555</v>
      </c>
      <c r="O5" s="192">
        <f>Q5/12</f>
        <v>3634.7864997694269</v>
      </c>
      <c r="P5" s="201">
        <f>R5/12</f>
        <v>282096.69348721317</v>
      </c>
      <c r="Q5" s="192">
        <f>'Costos, Gastos y Precio'!$AG$32 / ('Costos, Gastos y Precio'!AF41 - 'Costos, Gastos y Precio'!$H$10)</f>
        <v>43617.437997233123</v>
      </c>
      <c r="R5" s="201">
        <f>Q5 * 'Costos, Gastos y Precio'!$AF$41</f>
        <v>3385160.3218465582</v>
      </c>
      <c r="S5" s="192">
        <f>U5/12</f>
        <v>3517.0160230632705</v>
      </c>
      <c r="T5" s="201">
        <f>V5/12</f>
        <v>282509.97460222366</v>
      </c>
      <c r="U5" s="192">
        <f>'Costos, Gastos y Precio'!$AO$32 / ('Costos, Gastos y Precio'!$AN$41 - 'Costos, Gastos y Precio'!$J$10)</f>
        <v>42204.192276759248</v>
      </c>
      <c r="V5" s="201">
        <f>U5 * 'Costos, Gastos y Precio'!$AN$41</f>
        <v>3390119.6952266842</v>
      </c>
      <c r="W5" s="192">
        <f>Y5/12</f>
        <v>3609.880883139358</v>
      </c>
      <c r="X5" s="201">
        <f>Z5/12</f>
        <v>300118.42629447422</v>
      </c>
      <c r="Y5" s="192">
        <f>'Costos, Gastos y Precio'!$AW$32 / ('Costos, Gastos y Precio'!$AV$41 - 'Costos, Gastos y Precio'!$L$10)</f>
        <v>43318.570597672297</v>
      </c>
      <c r="Z5" s="201">
        <f>Y5 * 'Costos, Gastos y Precio'!$AV$41</f>
        <v>3601421.1155336909</v>
      </c>
    </row>
    <row r="6" spans="2:26">
      <c r="B6" s="76"/>
      <c r="C6" s="76"/>
      <c r="D6" s="76"/>
      <c r="E6" s="76"/>
      <c r="F6" s="76"/>
      <c r="G6" s="76"/>
      <c r="H6" s="76"/>
      <c r="I6" s="76"/>
      <c r="J6" s="76"/>
      <c r="K6" s="76"/>
      <c r="L6" s="76"/>
      <c r="M6" s="76"/>
      <c r="N6" s="76"/>
      <c r="O6" s="76"/>
      <c r="P6" s="76"/>
      <c r="Q6" s="76"/>
      <c r="R6" s="76"/>
      <c r="S6" s="76"/>
      <c r="T6" s="76"/>
      <c r="U6" s="76"/>
      <c r="V6" s="76"/>
      <c r="W6" s="76"/>
      <c r="X6" s="76"/>
      <c r="Y6" s="76"/>
      <c r="Z6" s="76"/>
    </row>
  </sheetData>
  <mergeCells count="19">
    <mergeCell ref="C1:E1"/>
    <mergeCell ref="C2:F2"/>
    <mergeCell ref="C3:D3"/>
    <mergeCell ref="E3:F3"/>
    <mergeCell ref="G2:J2"/>
    <mergeCell ref="G3:H3"/>
    <mergeCell ref="I3:J3"/>
    <mergeCell ref="K3:L3"/>
    <mergeCell ref="M3:N3"/>
    <mergeCell ref="O3:P3"/>
    <mergeCell ref="W2:Z2"/>
    <mergeCell ref="W3:X3"/>
    <mergeCell ref="Y3:Z3"/>
    <mergeCell ref="K2:N2"/>
    <mergeCell ref="O2:R2"/>
    <mergeCell ref="S2:V2"/>
    <mergeCell ref="Q3:R3"/>
    <mergeCell ref="S3:T3"/>
    <mergeCell ref="U3:V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Arturo Garcia</dc:creator>
  <cp:keywords/>
  <dc:description/>
  <cp:lastModifiedBy/>
  <cp:revision/>
  <dcterms:created xsi:type="dcterms:W3CDTF">2019-10-24T12:18:31Z</dcterms:created>
  <dcterms:modified xsi:type="dcterms:W3CDTF">2019-11-11T03:48:23Z</dcterms:modified>
  <cp:category/>
  <cp:contentStatus/>
</cp:coreProperties>
</file>