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1f856cd4844fe3/Documentos/Administracion de proyectos/Tercer Parcial/"/>
    </mc:Choice>
  </mc:AlternateContent>
  <xr:revisionPtr revIDLastSave="1" documentId="8_{DA4B5E58-A260-4A68-B19F-0176DF983969}" xr6:coauthVersionLast="45" xr6:coauthVersionMax="45" xr10:uidLastSave="{3EC9C6EA-CFAA-4555-97B3-C3F700BD5291}"/>
  <bookViews>
    <workbookView xWindow="3630" yWindow="3045" windowWidth="15375" windowHeight="7875" firstSheet="2" activeTab="5" xr2:uid="{03EA114A-2878-4474-97C6-B5787E7B45F0}"/>
  </bookViews>
  <sheets>
    <sheet name="Capital  Social" sheetId="1" r:id="rId1"/>
    <sheet name="Remuneraciones" sheetId="2" r:id="rId2"/>
    <sheet name="Inversion Total" sheetId="3" r:id="rId3"/>
    <sheet name="Financiamiento" sheetId="4" r:id="rId4"/>
    <sheet name="Depreciación" sheetId="5" r:id="rId5"/>
    <sheet name="Costos, Gastos y Precio" sheetId="7" r:id="rId6"/>
    <sheet name="Presupuesto de Ingresos" sheetId="6" r:id="rId7"/>
    <sheet name="Punto de Equilibrio" sheetId="8" r:id="rId8"/>
  </sheets>
  <definedNames>
    <definedName name="_xlnm.Print_Area" localSheetId="3">Financiamiento!$B$2:$K$40</definedName>
    <definedName name="_xlnm.Print_Area" localSheetId="2">'Inversion Total'!$B$2:$F$80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" i="7" l="1"/>
  <c r="AH22" i="7" l="1"/>
  <c r="AH21" i="7" s="1"/>
  <c r="AI22" i="7"/>
  <c r="AI21" i="7" s="1"/>
  <c r="AJ22" i="7"/>
  <c r="AJ21" i="7" s="1"/>
  <c r="AK22" i="7"/>
  <c r="AK21" i="7" s="1"/>
  <c r="AL22" i="7"/>
  <c r="AL21" i="7" s="1"/>
  <c r="AM22" i="7"/>
  <c r="AM21" i="7" s="1"/>
  <c r="AN22" i="7"/>
  <c r="AN21" i="7" s="1"/>
  <c r="AO22" i="7"/>
  <c r="AO21" i="7" s="1"/>
  <c r="AP22" i="7"/>
  <c r="AP21" i="7" s="1"/>
  <c r="AQ22" i="7"/>
  <c r="AQ21" i="7" s="1"/>
  <c r="AR22" i="7"/>
  <c r="AR21" i="7" s="1"/>
  <c r="AS22" i="7"/>
  <c r="AS21" i="7" s="1"/>
  <c r="AT22" i="7"/>
  <c r="AT21" i="7" s="1"/>
  <c r="AU22" i="7"/>
  <c r="AU21" i="7" s="1"/>
  <c r="AV22" i="7"/>
  <c r="AV21" i="7" s="1"/>
  <c r="AW22" i="7"/>
  <c r="AW21" i="7" s="1"/>
  <c r="AH24" i="7"/>
  <c r="AH23" i="7" s="1"/>
  <c r="AH32" i="7" s="1"/>
  <c r="AJ24" i="7"/>
  <c r="AK24" i="7"/>
  <c r="AL24" i="7"/>
  <c r="AL23" i="7" s="1"/>
  <c r="AL32" i="7" s="1"/>
  <c r="AP24" i="7"/>
  <c r="AP23" i="7" s="1"/>
  <c r="AP32" i="7" s="1"/>
  <c r="AR24" i="7"/>
  <c r="AS24" i="7"/>
  <c r="AT24" i="7"/>
  <c r="AH25" i="7"/>
  <c r="AI25" i="7" s="1"/>
  <c r="AJ25" i="7"/>
  <c r="AK25" i="7"/>
  <c r="AL25" i="7"/>
  <c r="AM25" i="7" s="1"/>
  <c r="AP25" i="7"/>
  <c r="AQ25" i="7" s="1"/>
  <c r="AR25" i="7"/>
  <c r="AS25" i="7"/>
  <c r="AT25" i="7"/>
  <c r="AU25" i="7" s="1"/>
  <c r="AH26" i="7"/>
  <c r="AI26" i="7" s="1"/>
  <c r="AJ26" i="7"/>
  <c r="AK26" i="7"/>
  <c r="AL26" i="7"/>
  <c r="AM26" i="7" s="1"/>
  <c r="AP26" i="7"/>
  <c r="AQ26" i="7" s="1"/>
  <c r="AR26" i="7"/>
  <c r="AS26" i="7"/>
  <c r="AT26" i="7"/>
  <c r="AU26" i="7" s="1"/>
  <c r="AH27" i="7"/>
  <c r="AI27" i="7" s="1"/>
  <c r="AJ27" i="7"/>
  <c r="AK27" i="7"/>
  <c r="AL27" i="7"/>
  <c r="AM27" i="7" s="1"/>
  <c r="AP27" i="7"/>
  <c r="AQ27" i="7" s="1"/>
  <c r="AR27" i="7"/>
  <c r="AS27" i="7"/>
  <c r="AT27" i="7"/>
  <c r="AU27" i="7" s="1"/>
  <c r="AH28" i="7"/>
  <c r="AI28" i="7" s="1"/>
  <c r="AL28" i="7"/>
  <c r="AM28" i="7" s="1"/>
  <c r="AP28" i="7"/>
  <c r="AQ28" i="7" s="1"/>
  <c r="AT28" i="7"/>
  <c r="AU28" i="7" s="1"/>
  <c r="AH29" i="7"/>
  <c r="AI29" i="7" s="1"/>
  <c r="AJ29" i="7"/>
  <c r="AK29" i="7"/>
  <c r="AL29" i="7"/>
  <c r="AM29" i="7" s="1"/>
  <c r="AP29" i="7"/>
  <c r="AQ29" i="7" s="1"/>
  <c r="AR29" i="7"/>
  <c r="AS29" i="7"/>
  <c r="AT29" i="7"/>
  <c r="AU29" i="7" s="1"/>
  <c r="AH30" i="7"/>
  <c r="AI30" i="7" s="1"/>
  <c r="AJ30" i="7"/>
  <c r="AK30" i="7"/>
  <c r="AL30" i="7"/>
  <c r="AM30" i="7" s="1"/>
  <c r="AP30" i="7"/>
  <c r="AQ30" i="7" s="1"/>
  <c r="AR30" i="7"/>
  <c r="AS30" i="7"/>
  <c r="AT30" i="7"/>
  <c r="AU30" i="7" s="1"/>
  <c r="AH31" i="7"/>
  <c r="AI31" i="7" s="1"/>
  <c r="AO31" i="7" s="1"/>
  <c r="AJ31" i="7"/>
  <c r="AR31" i="7" s="1"/>
  <c r="AL31" i="7"/>
  <c r="AM31" i="7" s="1"/>
  <c r="AP31" i="7"/>
  <c r="AQ31" i="7" s="1"/>
  <c r="Z22" i="7"/>
  <c r="Z21" i="7" s="1"/>
  <c r="AA22" i="7"/>
  <c r="AA21" i="7" s="1"/>
  <c r="AB22" i="7"/>
  <c r="AB21" i="7" s="1"/>
  <c r="AC22" i="7"/>
  <c r="AC21" i="7" s="1"/>
  <c r="AD22" i="7"/>
  <c r="AD21" i="7" s="1"/>
  <c r="AE22" i="7"/>
  <c r="AE21" i="7" s="1"/>
  <c r="AF22" i="7"/>
  <c r="AF21" i="7" s="1"/>
  <c r="AG22" i="7"/>
  <c r="AG21" i="7" s="1"/>
  <c r="Z24" i="7"/>
  <c r="Z23" i="7" s="1"/>
  <c r="Z32" i="7" s="1"/>
  <c r="AA24" i="7"/>
  <c r="AA23" i="7" s="1"/>
  <c r="AA32" i="7" s="1"/>
  <c r="AB24" i="7"/>
  <c r="AC24" i="7"/>
  <c r="AD24" i="7"/>
  <c r="AD23" i="7" s="1"/>
  <c r="AD32" i="7" s="1"/>
  <c r="AE24" i="7"/>
  <c r="AF24" i="7"/>
  <c r="AG24" i="7"/>
  <c r="Z25" i="7"/>
  <c r="AA25" i="7"/>
  <c r="AB25" i="7"/>
  <c r="AC25" i="7"/>
  <c r="AD25" i="7"/>
  <c r="AE25" i="7"/>
  <c r="AF25" i="7"/>
  <c r="AG25" i="7"/>
  <c r="Z26" i="7"/>
  <c r="AA26" i="7"/>
  <c r="AB26" i="7"/>
  <c r="AC26" i="7"/>
  <c r="AD26" i="7"/>
  <c r="AE26" i="7"/>
  <c r="AF26" i="7"/>
  <c r="AG26" i="7"/>
  <c r="Z27" i="7"/>
  <c r="AA27" i="7"/>
  <c r="AB27" i="7"/>
  <c r="AC27" i="7"/>
  <c r="AD27" i="7"/>
  <c r="AE27" i="7"/>
  <c r="AF27" i="7"/>
  <c r="AG27" i="7"/>
  <c r="Z28" i="7"/>
  <c r="AA28" i="7"/>
  <c r="AD28" i="7"/>
  <c r="AE28" i="7"/>
  <c r="Z29" i="7"/>
  <c r="AA29" i="7"/>
  <c r="AB29" i="7"/>
  <c r="AF29" i="7" s="1"/>
  <c r="AC29" i="7"/>
  <c r="AD29" i="7"/>
  <c r="AE29" i="7"/>
  <c r="AG29" i="7"/>
  <c r="Z30" i="7"/>
  <c r="AA30" i="7"/>
  <c r="AB30" i="7"/>
  <c r="AF30" i="7" s="1"/>
  <c r="AC30" i="7"/>
  <c r="AG30" i="7" s="1"/>
  <c r="AD30" i="7"/>
  <c r="AE30" i="7"/>
  <c r="Z31" i="7"/>
  <c r="AA31" i="7"/>
  <c r="AB31" i="7"/>
  <c r="AF31" i="7" s="1"/>
  <c r="AD31" i="7"/>
  <c r="AE31" i="7" s="1"/>
  <c r="AG31" i="7" s="1"/>
  <c r="R22" i="7"/>
  <c r="R21" i="7"/>
  <c r="S22" i="7"/>
  <c r="S21" i="7" s="1"/>
  <c r="T22" i="7"/>
  <c r="T21" i="7" s="1"/>
  <c r="U22" i="7"/>
  <c r="U21" i="7" s="1"/>
  <c r="V22" i="7"/>
  <c r="V21" i="7" s="1"/>
  <c r="W22" i="7"/>
  <c r="W21" i="7" s="1"/>
  <c r="X22" i="7"/>
  <c r="X21" i="7" s="1"/>
  <c r="Y22" i="7"/>
  <c r="Y21" i="7" s="1"/>
  <c r="R24" i="7"/>
  <c r="R23" i="7" s="1"/>
  <c r="R32" i="7" s="1"/>
  <c r="T24" i="7"/>
  <c r="U24" i="7"/>
  <c r="V24" i="7"/>
  <c r="V23" i="7" s="1"/>
  <c r="V32" i="7" s="1"/>
  <c r="X24" i="7"/>
  <c r="R25" i="7"/>
  <c r="S25" i="7" s="1"/>
  <c r="Y25" i="7" s="1"/>
  <c r="T25" i="7"/>
  <c r="U25" i="7"/>
  <c r="V25" i="7"/>
  <c r="W25" i="7" s="1"/>
  <c r="X25" i="7"/>
  <c r="R26" i="7"/>
  <c r="S26" i="7" s="1"/>
  <c r="Y26" i="7" s="1"/>
  <c r="T26" i="7"/>
  <c r="U26" i="7"/>
  <c r="V26" i="7"/>
  <c r="W26" i="7" s="1"/>
  <c r="X26" i="7"/>
  <c r="R27" i="7"/>
  <c r="S27" i="7" s="1"/>
  <c r="Y27" i="7" s="1"/>
  <c r="T27" i="7"/>
  <c r="U27" i="7"/>
  <c r="V27" i="7"/>
  <c r="W27" i="7" s="1"/>
  <c r="X27" i="7"/>
  <c r="R28" i="7"/>
  <c r="S28" i="7" s="1"/>
  <c r="V28" i="7"/>
  <c r="W28" i="7" s="1"/>
  <c r="R29" i="7"/>
  <c r="S29" i="7" s="1"/>
  <c r="Y29" i="7" s="1"/>
  <c r="T29" i="7"/>
  <c r="U29" i="7"/>
  <c r="V29" i="7"/>
  <c r="W29" i="7" s="1"/>
  <c r="X29" i="7"/>
  <c r="R30" i="7"/>
  <c r="S30" i="7" s="1"/>
  <c r="Y30" i="7" s="1"/>
  <c r="T30" i="7"/>
  <c r="U30" i="7"/>
  <c r="V30" i="7"/>
  <c r="W30" i="7" s="1"/>
  <c r="X30" i="7"/>
  <c r="R31" i="7"/>
  <c r="S31" i="7" s="1"/>
  <c r="Y31" i="7" s="1"/>
  <c r="T31" i="7"/>
  <c r="V31" i="7"/>
  <c r="W31" i="7" s="1"/>
  <c r="K22" i="7"/>
  <c r="L22" i="7"/>
  <c r="M22" i="7"/>
  <c r="N22" i="7"/>
  <c r="N21" i="7" s="1"/>
  <c r="N32" i="7" s="1"/>
  <c r="O22" i="7"/>
  <c r="O21" i="7" s="1"/>
  <c r="O32" i="7" s="1"/>
  <c r="P22" i="7"/>
  <c r="Q22" i="7"/>
  <c r="J22" i="7"/>
  <c r="J21" i="7" s="1"/>
  <c r="J32" i="7" s="1"/>
  <c r="K21" i="7"/>
  <c r="K32" i="7" s="1"/>
  <c r="L21" i="7"/>
  <c r="M21" i="7"/>
  <c r="P21" i="7"/>
  <c r="Q21" i="7"/>
  <c r="C21" i="7"/>
  <c r="D21" i="7"/>
  <c r="E21" i="7"/>
  <c r="F21" i="7"/>
  <c r="F32" i="7" s="1"/>
  <c r="G21" i="7"/>
  <c r="G32" i="7" s="1"/>
  <c r="H21" i="7"/>
  <c r="I21" i="7"/>
  <c r="B21" i="7"/>
  <c r="O23" i="7"/>
  <c r="N23" i="7"/>
  <c r="M23" i="7"/>
  <c r="K23" i="7"/>
  <c r="J23" i="7"/>
  <c r="Q31" i="7"/>
  <c r="Q24" i="7"/>
  <c r="Q25" i="7"/>
  <c r="Q26" i="7"/>
  <c r="Q27" i="7"/>
  <c r="Q29" i="7"/>
  <c r="Q30" i="7"/>
  <c r="P25" i="7"/>
  <c r="P26" i="7"/>
  <c r="P27" i="7"/>
  <c r="P28" i="7"/>
  <c r="P23" i="7" s="1"/>
  <c r="P29" i="7"/>
  <c r="P30" i="7"/>
  <c r="P31" i="7"/>
  <c r="P24" i="7"/>
  <c r="O25" i="7"/>
  <c r="O26" i="7"/>
  <c r="O27" i="7"/>
  <c r="O28" i="7"/>
  <c r="O29" i="7"/>
  <c r="O30" i="7"/>
  <c r="O31" i="7"/>
  <c r="O24" i="7"/>
  <c r="M25" i="7"/>
  <c r="M26" i="7"/>
  <c r="M27" i="7"/>
  <c r="M28" i="7"/>
  <c r="Q28" i="7" s="1"/>
  <c r="Q23" i="7" s="1"/>
  <c r="M29" i="7"/>
  <c r="M30" i="7"/>
  <c r="M24" i="7"/>
  <c r="K25" i="7"/>
  <c r="K26" i="7"/>
  <c r="K27" i="7"/>
  <c r="K28" i="7"/>
  <c r="K29" i="7"/>
  <c r="K30" i="7"/>
  <c r="K31" i="7"/>
  <c r="K24" i="7"/>
  <c r="N25" i="7"/>
  <c r="N26" i="7"/>
  <c r="N27" i="7"/>
  <c r="N28" i="7"/>
  <c r="N29" i="7"/>
  <c r="N30" i="7"/>
  <c r="N31" i="7"/>
  <c r="N24" i="7"/>
  <c r="L25" i="7"/>
  <c r="L26" i="7"/>
  <c r="L27" i="7"/>
  <c r="L28" i="7"/>
  <c r="L23" i="7" s="1"/>
  <c r="L29" i="7"/>
  <c r="L30" i="7"/>
  <c r="L31" i="7"/>
  <c r="L24" i="7"/>
  <c r="J25" i="7"/>
  <c r="J26" i="7"/>
  <c r="J27" i="7"/>
  <c r="J28" i="7"/>
  <c r="J29" i="7"/>
  <c r="J30" i="7"/>
  <c r="J31" i="7"/>
  <c r="J24" i="7"/>
  <c r="B32" i="7"/>
  <c r="C32" i="7"/>
  <c r="F31" i="7"/>
  <c r="G31" i="7" s="1"/>
  <c r="D31" i="7"/>
  <c r="D23" i="7" s="1"/>
  <c r="D32" i="7" s="1"/>
  <c r="B31" i="7"/>
  <c r="D27" i="7"/>
  <c r="F25" i="7"/>
  <c r="I26" i="7"/>
  <c r="I29" i="7"/>
  <c r="I30" i="7"/>
  <c r="I24" i="7"/>
  <c r="B23" i="7"/>
  <c r="H25" i="7"/>
  <c r="H26" i="7"/>
  <c r="H27" i="7"/>
  <c r="H28" i="7"/>
  <c r="H29" i="7"/>
  <c r="H30" i="7"/>
  <c r="H24" i="7"/>
  <c r="G25" i="7"/>
  <c r="I25" i="7" s="1"/>
  <c r="G26" i="7"/>
  <c r="G27" i="7"/>
  <c r="G28" i="7"/>
  <c r="G29" i="7"/>
  <c r="G30" i="7"/>
  <c r="G24" i="7"/>
  <c r="E25" i="7"/>
  <c r="E26" i="7"/>
  <c r="E27" i="7"/>
  <c r="E28" i="7"/>
  <c r="I28" i="7" s="1"/>
  <c r="E29" i="7"/>
  <c r="E30" i="7"/>
  <c r="E31" i="7"/>
  <c r="E24" i="7"/>
  <c r="C25" i="7"/>
  <c r="C26" i="7"/>
  <c r="C27" i="7"/>
  <c r="C28" i="7"/>
  <c r="C29" i="7"/>
  <c r="C30" i="7"/>
  <c r="C31" i="7"/>
  <c r="C23" i="7" s="1"/>
  <c r="E22" i="7"/>
  <c r="D22" i="7" s="1"/>
  <c r="L32" i="7" l="1"/>
  <c r="P32" i="7"/>
  <c r="P36" i="7" s="1"/>
  <c r="T28" i="7"/>
  <c r="T23" i="7"/>
  <c r="T32" i="7" s="1"/>
  <c r="Q32" i="7"/>
  <c r="Q36" i="7" s="1"/>
  <c r="Q37" i="7" s="1"/>
  <c r="Q39" i="7" s="1"/>
  <c r="M32" i="7"/>
  <c r="AW30" i="7"/>
  <c r="AO30" i="7"/>
  <c r="AW29" i="7"/>
  <c r="AO29" i="7"/>
  <c r="AW27" i="7"/>
  <c r="AO27" i="7"/>
  <c r="AW26" i="7"/>
  <c r="AO26" i="7"/>
  <c r="AW25" i="7"/>
  <c r="AO25" i="7"/>
  <c r="AT31" i="7"/>
  <c r="AU31" i="7" s="1"/>
  <c r="AW31" i="7" s="1"/>
  <c r="AV30" i="7"/>
  <c r="AN30" i="7"/>
  <c r="AV29" i="7"/>
  <c r="AN29" i="7"/>
  <c r="AV27" i="7"/>
  <c r="AN27" i="7"/>
  <c r="AV26" i="7"/>
  <c r="AN26" i="7"/>
  <c r="AV25" i="7"/>
  <c r="AN25" i="7"/>
  <c r="AV24" i="7"/>
  <c r="AN24" i="7"/>
  <c r="AN31" i="7"/>
  <c r="AU24" i="7"/>
  <c r="AU23" i="7" s="1"/>
  <c r="AU32" i="7" s="1"/>
  <c r="AQ24" i="7"/>
  <c r="AM24" i="7"/>
  <c r="AM23" i="7" s="1"/>
  <c r="AM32" i="7" s="1"/>
  <c r="AI24" i="7"/>
  <c r="AV31" i="7"/>
  <c r="AE23" i="7"/>
  <c r="AE32" i="7" s="1"/>
  <c r="X31" i="7"/>
  <c r="W24" i="7"/>
  <c r="W23" i="7" s="1"/>
  <c r="W32" i="7" s="1"/>
  <c r="S24" i="7"/>
  <c r="I31" i="7"/>
  <c r="E23" i="7"/>
  <c r="E32" i="7" s="1"/>
  <c r="H31" i="7"/>
  <c r="H23" i="7" s="1"/>
  <c r="H32" i="7" s="1"/>
  <c r="H36" i="7" s="1"/>
  <c r="H37" i="7" s="1"/>
  <c r="H39" i="7" s="1"/>
  <c r="I27" i="7"/>
  <c r="I23" i="7"/>
  <c r="I32" i="7" s="1"/>
  <c r="I36" i="7" s="1"/>
  <c r="I37" i="7" s="1"/>
  <c r="I39" i="7" s="1"/>
  <c r="L12" i="7"/>
  <c r="J12" i="7"/>
  <c r="H12" i="7"/>
  <c r="F12" i="7"/>
  <c r="D12" i="7"/>
  <c r="B12" i="7"/>
  <c r="L10" i="7"/>
  <c r="J10" i="7"/>
  <c r="H10" i="7"/>
  <c r="F10" i="7"/>
  <c r="D10" i="7"/>
  <c r="B10" i="7"/>
  <c r="M8" i="7"/>
  <c r="K8" i="7"/>
  <c r="I8" i="7"/>
  <c r="G8" i="7"/>
  <c r="M9" i="7"/>
  <c r="K9" i="7"/>
  <c r="I9" i="7"/>
  <c r="G9" i="7"/>
  <c r="E8" i="7"/>
  <c r="E9" i="7"/>
  <c r="F24" i="7"/>
  <c r="C9" i="7"/>
  <c r="D24" i="7"/>
  <c r="C24" i="7"/>
  <c r="G23" i="7"/>
  <c r="F23" i="7"/>
  <c r="B24" i="7"/>
  <c r="AV41" i="7"/>
  <c r="AN41" i="7"/>
  <c r="AF41" i="7"/>
  <c r="X41" i="7"/>
  <c r="P41" i="7"/>
  <c r="AW41" i="7"/>
  <c r="AW38" i="7"/>
  <c r="AO41" i="7"/>
  <c r="AO38" i="7"/>
  <c r="AG41" i="7"/>
  <c r="AG38" i="7"/>
  <c r="Y41" i="7"/>
  <c r="Y38" i="7"/>
  <c r="C8" i="7"/>
  <c r="P37" i="7"/>
  <c r="P39" i="7" s="1"/>
  <c r="Q41" i="7"/>
  <c r="Q38" i="7"/>
  <c r="I38" i="7"/>
  <c r="I41" i="7"/>
  <c r="AB28" i="7" l="1"/>
  <c r="X28" i="7"/>
  <c r="X23" i="7" s="1"/>
  <c r="X32" i="7" s="1"/>
  <c r="X36" i="7" s="1"/>
  <c r="X37" i="7" s="1"/>
  <c r="X39" i="7" s="1"/>
  <c r="U28" i="7"/>
  <c r="AI23" i="7"/>
  <c r="AI32" i="7" s="1"/>
  <c r="AO24" i="7"/>
  <c r="AT23" i="7"/>
  <c r="AT32" i="7" s="1"/>
  <c r="AQ23" i="7"/>
  <c r="AQ32" i="7" s="1"/>
  <c r="AW24" i="7"/>
  <c r="Y24" i="7"/>
  <c r="S23" i="7"/>
  <c r="S32" i="7" s="1"/>
  <c r="G5" i="6"/>
  <c r="J5" i="6"/>
  <c r="M5" i="6"/>
  <c r="P5" i="6"/>
  <c r="C5" i="6"/>
  <c r="E5" i="6" s="1"/>
  <c r="F4" i="6"/>
  <c r="P4" i="6"/>
  <c r="M4" i="6"/>
  <c r="J4" i="6"/>
  <c r="G4" i="6"/>
  <c r="E4" i="6"/>
  <c r="E7" i="6" s="1"/>
  <c r="U23" i="7" l="1"/>
  <c r="U32" i="7" s="1"/>
  <c r="Y28" i="7"/>
  <c r="Y23" i="7" s="1"/>
  <c r="Y32" i="7" s="1"/>
  <c r="Y36" i="7" s="1"/>
  <c r="Y37" i="7" s="1"/>
  <c r="Y39" i="7" s="1"/>
  <c r="AF28" i="7"/>
  <c r="AF23" i="7" s="1"/>
  <c r="AF32" i="7" s="1"/>
  <c r="AF36" i="7" s="1"/>
  <c r="AF37" i="7" s="1"/>
  <c r="AF39" i="7" s="1"/>
  <c r="AC28" i="7"/>
  <c r="AJ28" i="7"/>
  <c r="AB23" i="7"/>
  <c r="AB32" i="7" s="1"/>
  <c r="F5" i="6"/>
  <c r="H5" i="6" s="1"/>
  <c r="I4" i="6"/>
  <c r="K4" i="6"/>
  <c r="H4" i="6"/>
  <c r="H7" i="6" s="1"/>
  <c r="AG28" i="7" l="1"/>
  <c r="AG23" i="7" s="1"/>
  <c r="AG32" i="7" s="1"/>
  <c r="AG36" i="7" s="1"/>
  <c r="AG37" i="7" s="1"/>
  <c r="AG39" i="7" s="1"/>
  <c r="AC23" i="7"/>
  <c r="AC32" i="7" s="1"/>
  <c r="AK28" i="7"/>
  <c r="AR28" i="7"/>
  <c r="AJ23" i="7"/>
  <c r="AJ32" i="7" s="1"/>
  <c r="AN28" i="7"/>
  <c r="AN23" i="7" s="1"/>
  <c r="AN32" i="7" s="1"/>
  <c r="AN36" i="7" s="1"/>
  <c r="AN37" i="7" s="1"/>
  <c r="AN39" i="7" s="1"/>
  <c r="I5" i="6"/>
  <c r="K5" i="6" s="1"/>
  <c r="K7" i="6" s="1"/>
  <c r="L4" i="6"/>
  <c r="F33" i="5"/>
  <c r="G33" i="5" s="1"/>
  <c r="I33" i="5" s="1"/>
  <c r="F32" i="5"/>
  <c r="G32" i="5" s="1"/>
  <c r="I32" i="5" s="1"/>
  <c r="F31" i="5"/>
  <c r="G31" i="5" s="1"/>
  <c r="I31" i="5" s="1"/>
  <c r="F29" i="5"/>
  <c r="G29" i="5" s="1"/>
  <c r="I29" i="5" s="1"/>
  <c r="F28" i="5"/>
  <c r="G28" i="5" s="1"/>
  <c r="I28" i="5" s="1"/>
  <c r="F27" i="5"/>
  <c r="G27" i="5" s="1"/>
  <c r="I27" i="5" s="1"/>
  <c r="F26" i="5"/>
  <c r="G26" i="5" s="1"/>
  <c r="I26" i="5" s="1"/>
  <c r="F23" i="5"/>
  <c r="G23" i="5" s="1"/>
  <c r="I23" i="5" s="1"/>
  <c r="F22" i="5"/>
  <c r="G22" i="5" s="1"/>
  <c r="I22" i="5" s="1"/>
  <c r="F21" i="5"/>
  <c r="G21" i="5" s="1"/>
  <c r="I21" i="5" s="1"/>
  <c r="F19" i="5"/>
  <c r="G19" i="5" s="1"/>
  <c r="I19" i="5" s="1"/>
  <c r="F18" i="5"/>
  <c r="G18" i="5" s="1"/>
  <c r="I18" i="5" s="1"/>
  <c r="F17" i="5"/>
  <c r="G17" i="5" s="1"/>
  <c r="I17" i="5" s="1"/>
  <c r="F16" i="5"/>
  <c r="G16" i="5" s="1"/>
  <c r="I16" i="5" s="1"/>
  <c r="F13" i="5"/>
  <c r="G13" i="5" s="1"/>
  <c r="I13" i="5" s="1"/>
  <c r="F12" i="5"/>
  <c r="G12" i="5" s="1"/>
  <c r="I12" i="5" s="1"/>
  <c r="F11" i="5"/>
  <c r="G11" i="5" s="1"/>
  <c r="I11" i="5" s="1"/>
  <c r="F9" i="5"/>
  <c r="G9" i="5" s="1"/>
  <c r="I9" i="5" s="1"/>
  <c r="F8" i="5"/>
  <c r="G8" i="5" s="1"/>
  <c r="I8" i="5" s="1"/>
  <c r="F7" i="5"/>
  <c r="G7" i="5" s="1"/>
  <c r="I7" i="5" s="1"/>
  <c r="F6" i="5"/>
  <c r="G6" i="5" s="1"/>
  <c r="I6" i="5" s="1"/>
  <c r="AS28" i="7" l="1"/>
  <c r="AR23" i="7"/>
  <c r="AR32" i="7" s="1"/>
  <c r="AV28" i="7"/>
  <c r="AV23" i="7" s="1"/>
  <c r="AV32" i="7" s="1"/>
  <c r="AV36" i="7" s="1"/>
  <c r="AV37" i="7" s="1"/>
  <c r="AV39" i="7" s="1"/>
  <c r="AK23" i="7"/>
  <c r="AK32" i="7" s="1"/>
  <c r="AO28" i="7"/>
  <c r="AO23" i="7" s="1"/>
  <c r="AO32" i="7" s="1"/>
  <c r="AO36" i="7" s="1"/>
  <c r="AO37" i="7" s="1"/>
  <c r="AO39" i="7" s="1"/>
  <c r="L5" i="6"/>
  <c r="N5" i="6" s="1"/>
  <c r="O4" i="6"/>
  <c r="N4" i="6"/>
  <c r="N7" i="6" s="1"/>
  <c r="I30" i="5"/>
  <c r="J30" i="5" s="1"/>
  <c r="I5" i="5"/>
  <c r="J5" i="5" s="1"/>
  <c r="I10" i="5"/>
  <c r="I15" i="5"/>
  <c r="J15" i="5" s="1"/>
  <c r="I20" i="5"/>
  <c r="I25" i="5"/>
  <c r="J25" i="5" s="1"/>
  <c r="D8" i="1"/>
  <c r="D78" i="3" s="1"/>
  <c r="AS23" i="7" l="1"/>
  <c r="AS32" i="7" s="1"/>
  <c r="AW28" i="7"/>
  <c r="AW23" i="7" s="1"/>
  <c r="AW32" i="7" s="1"/>
  <c r="AW36" i="7" s="1"/>
  <c r="AW37" i="7" s="1"/>
  <c r="AW39" i="7" s="1"/>
  <c r="Q4" i="6"/>
  <c r="O5" i="6"/>
  <c r="Q5" i="6" s="1"/>
  <c r="J20" i="5"/>
  <c r="I24" i="5"/>
  <c r="J24" i="5" s="1"/>
  <c r="I34" i="5"/>
  <c r="J34" i="5" s="1"/>
  <c r="I14" i="5"/>
  <c r="J14" i="5" s="1"/>
  <c r="J10" i="5"/>
  <c r="D31" i="4"/>
  <c r="D32" i="4"/>
  <c r="D33" i="4"/>
  <c r="D34" i="4"/>
  <c r="D35" i="4"/>
  <c r="D36" i="4"/>
  <c r="D37" i="4"/>
  <c r="D38" i="4"/>
  <c r="D39" i="4"/>
  <c r="D40" i="4"/>
  <c r="D30" i="4"/>
  <c r="D29" i="4"/>
  <c r="Q7" i="6" l="1"/>
  <c r="I35" i="5"/>
  <c r="J35" i="5" s="1"/>
  <c r="E53" i="3"/>
  <c r="E54" i="3"/>
  <c r="E55" i="3"/>
  <c r="E56" i="3"/>
  <c r="E57" i="3"/>
  <c r="E58" i="3"/>
  <c r="E59" i="3"/>
  <c r="E60" i="3"/>
  <c r="E61" i="3"/>
  <c r="E62" i="3"/>
  <c r="E63" i="3"/>
  <c r="E65" i="3"/>
  <c r="E52" i="3"/>
  <c r="C64" i="3" l="1"/>
  <c r="E64" i="3" s="1"/>
  <c r="E68" i="3" s="1"/>
  <c r="F68" i="3" s="1"/>
  <c r="E30" i="3"/>
  <c r="F12" i="3"/>
  <c r="F11" i="3"/>
  <c r="F9" i="3"/>
  <c r="G14" i="2"/>
  <c r="G15" i="2"/>
  <c r="G16" i="2"/>
  <c r="G17" i="2"/>
  <c r="G18" i="2"/>
  <c r="G13" i="2"/>
  <c r="G9" i="2"/>
  <c r="G10" i="2"/>
  <c r="G8" i="2"/>
  <c r="G4" i="2"/>
  <c r="G5" i="2"/>
  <c r="G6" i="2"/>
  <c r="E45" i="3"/>
  <c r="E44" i="3"/>
  <c r="E43" i="3"/>
  <c r="E41" i="3"/>
  <c r="E40" i="3"/>
  <c r="E39" i="3"/>
  <c r="E37" i="3"/>
  <c r="E36" i="3"/>
  <c r="E35" i="3"/>
  <c r="E34" i="3"/>
  <c r="E33" i="3"/>
  <c r="E31" i="3"/>
  <c r="E29" i="3"/>
  <c r="E28" i="3"/>
  <c r="E26" i="3"/>
  <c r="E25" i="3"/>
  <c r="E32" i="3" l="1"/>
  <c r="E42" i="3"/>
  <c r="E38" i="3"/>
  <c r="E27" i="3"/>
  <c r="F17" i="3"/>
  <c r="D73" i="3" s="1"/>
  <c r="E46" i="3" l="1"/>
  <c r="D74" i="3" s="1"/>
  <c r="D75" i="3" l="1"/>
  <c r="D76" i="3" s="1"/>
  <c r="D21" i="4"/>
  <c r="D9" i="4"/>
  <c r="D15" i="4"/>
  <c r="D19" i="4"/>
  <c r="D16" i="4"/>
  <c r="D7" i="4"/>
  <c r="D25" i="4"/>
  <c r="D6" i="4"/>
  <c r="D13" i="4"/>
  <c r="D12" i="4"/>
  <c r="D27" i="4"/>
  <c r="D24" i="4"/>
  <c r="D17" i="4"/>
  <c r="D20" i="4"/>
  <c r="D11" i="4"/>
  <c r="D26" i="4"/>
  <c r="D18" i="4"/>
  <c r="D8" i="4"/>
  <c r="D28" i="4"/>
  <c r="D10" i="4"/>
  <c r="D23" i="4"/>
  <c r="D14" i="4"/>
  <c r="D22" i="4"/>
  <c r="D5" i="4"/>
  <c r="F4" i="4"/>
  <c r="C5" i="4" s="1"/>
  <c r="E5" i="4" l="1"/>
  <c r="F5" i="4" l="1"/>
  <c r="C6" i="4" l="1"/>
  <c r="C67" i="3" l="1"/>
  <c r="E67" i="3" s="1"/>
  <c r="E6" i="4"/>
  <c r="C66" i="3" l="1"/>
  <c r="F6" i="4"/>
  <c r="C7" i="4" l="1"/>
  <c r="E7" i="4" s="1"/>
  <c r="F7" i="4" s="1"/>
  <c r="C12" i="1"/>
  <c r="D80" i="3" s="1"/>
  <c r="E66" i="3"/>
  <c r="E69" i="3" s="1"/>
  <c r="C8" i="4" l="1"/>
  <c r="E8" i="4" s="1"/>
  <c r="F8" i="4" s="1"/>
  <c r="C9" i="4" l="1"/>
  <c r="E9" i="4" s="1"/>
  <c r="F9" i="4"/>
  <c r="C10" i="4" l="1"/>
  <c r="E10" i="4" s="1"/>
  <c r="F10" i="4" s="1"/>
  <c r="C11" i="4" l="1"/>
  <c r="E11" i="4" s="1"/>
  <c r="F11" i="4" s="1"/>
  <c r="C12" i="4" l="1"/>
  <c r="E12" i="4" s="1"/>
  <c r="F12" i="4" s="1"/>
  <c r="C13" i="4" l="1"/>
  <c r="E13" i="4" s="1"/>
  <c r="F13" i="4"/>
  <c r="C14" i="4" l="1"/>
  <c r="E14" i="4" s="1"/>
  <c r="F14" i="4" s="1"/>
  <c r="C15" i="4" l="1"/>
  <c r="E15" i="4" s="1"/>
  <c r="F15" i="4" s="1"/>
  <c r="C16" i="4" l="1"/>
  <c r="E16" i="4" s="1"/>
  <c r="F16" i="4" s="1"/>
  <c r="C17" i="4" l="1"/>
  <c r="E17" i="4" s="1"/>
  <c r="F17" i="4"/>
  <c r="C18" i="4" l="1"/>
  <c r="E18" i="4" s="1"/>
  <c r="F18" i="4" s="1"/>
  <c r="C19" i="4" l="1"/>
  <c r="E19" i="4" s="1"/>
  <c r="F19" i="4"/>
  <c r="C20" i="4" l="1"/>
  <c r="E20" i="4" s="1"/>
  <c r="F20" i="4" s="1"/>
  <c r="C21" i="4" l="1"/>
  <c r="E21" i="4" s="1"/>
  <c r="F21" i="4" s="1"/>
  <c r="C22" i="4" l="1"/>
  <c r="E22" i="4" s="1"/>
  <c r="F22" i="4" s="1"/>
  <c r="C23" i="4" l="1"/>
  <c r="E23" i="4" s="1"/>
  <c r="F23" i="4" s="1"/>
  <c r="C24" i="4" l="1"/>
  <c r="E24" i="4" s="1"/>
  <c r="F24" i="4" s="1"/>
  <c r="C25" i="4" l="1"/>
  <c r="E25" i="4" s="1"/>
  <c r="F25" i="4" s="1"/>
  <c r="C26" i="4" l="1"/>
  <c r="E26" i="4" s="1"/>
  <c r="F26" i="4" s="1"/>
  <c r="C27" i="4" l="1"/>
  <c r="E27" i="4" s="1"/>
  <c r="F27" i="4"/>
  <c r="C28" i="4" l="1"/>
  <c r="E28" i="4" s="1"/>
  <c r="F28" i="4"/>
  <c r="C29" i="4" l="1"/>
  <c r="E29" i="4" s="1"/>
  <c r="F29" i="4" s="1"/>
  <c r="C30" i="4" l="1"/>
  <c r="E30" i="4" s="1"/>
  <c r="F30" i="4" s="1"/>
  <c r="C31" i="4" l="1"/>
  <c r="E31" i="4" s="1"/>
  <c r="F31" i="4" s="1"/>
  <c r="C32" i="4" l="1"/>
  <c r="E32" i="4" s="1"/>
  <c r="F32" i="4"/>
  <c r="C33" i="4" l="1"/>
  <c r="E33" i="4" s="1"/>
  <c r="F33" i="4"/>
  <c r="C34" i="4" l="1"/>
  <c r="E34" i="4" s="1"/>
  <c r="F34" i="4" s="1"/>
  <c r="C35" i="4" l="1"/>
  <c r="E35" i="4" s="1"/>
  <c r="F35" i="4"/>
  <c r="C36" i="4" l="1"/>
  <c r="E36" i="4" s="1"/>
  <c r="F36" i="4"/>
  <c r="C37" i="4" l="1"/>
  <c r="E37" i="4" s="1"/>
  <c r="F37" i="4" s="1"/>
  <c r="C38" i="4" l="1"/>
  <c r="E38" i="4" s="1"/>
  <c r="F38" i="4" s="1"/>
  <c r="C39" i="4" l="1"/>
  <c r="E39" i="4" s="1"/>
  <c r="F39" i="4"/>
  <c r="C40" i="4" l="1"/>
  <c r="E40" i="4" s="1"/>
  <c r="F40" i="4"/>
</calcChain>
</file>

<file path=xl/sharedStrings.xml><?xml version="1.0" encoding="utf-8"?>
<sst xmlns="http://schemas.openxmlformats.org/spreadsheetml/2006/main" count="380" uniqueCount="209">
  <si>
    <t>Nombre</t>
  </si>
  <si>
    <t>Numero de Acciones</t>
  </si>
  <si>
    <t>Valor</t>
  </si>
  <si>
    <t>1.- Alvarez Velázquez Juan Carlos</t>
  </si>
  <si>
    <t>2.- Pérez Garduño José Emiliano</t>
  </si>
  <si>
    <t>3.- Reyes Ortega Ulises Axel­</t>
  </si>
  <si>
    <t>Valor de Accion</t>
  </si>
  <si>
    <t>4.- Garcia Ibañez Luis Arturo</t>
  </si>
  <si>
    <t>5.- Rosas Hernandez  Oscar Andres</t>
  </si>
  <si>
    <t>Total</t>
  </si>
  <si>
    <t>otros socios</t>
  </si>
  <si>
    <t>Remuneraciones</t>
  </si>
  <si>
    <t>Area</t>
  </si>
  <si>
    <t>Puesto</t>
  </si>
  <si>
    <t>No. De Personas</t>
  </si>
  <si>
    <t>Sueldo/salario mensual</t>
  </si>
  <si>
    <t>Prestaciones y Carga Social 35%</t>
  </si>
  <si>
    <t>Salario/Sueldo mensual total</t>
  </si>
  <si>
    <t>Salario/Sueldo total Anual</t>
  </si>
  <si>
    <t>Administrativos</t>
  </si>
  <si>
    <t>CEO</t>
  </si>
  <si>
    <t>R.H.</t>
  </si>
  <si>
    <t>Scrum Master</t>
  </si>
  <si>
    <t>Producción</t>
  </si>
  <si>
    <t>Móbiles</t>
  </si>
  <si>
    <t>Servicios</t>
  </si>
  <si>
    <t>Marketing</t>
  </si>
  <si>
    <t>Publicista</t>
  </si>
  <si>
    <t>Redes Sociales</t>
  </si>
  <si>
    <t>Testing</t>
  </si>
  <si>
    <t>Pentesting</t>
  </si>
  <si>
    <t>Tester</t>
  </si>
  <si>
    <t>Sistemas</t>
  </si>
  <si>
    <t>Control de equipos y Seguridad</t>
  </si>
  <si>
    <t>Administrador de Sistemas</t>
  </si>
  <si>
    <t>Comedor</t>
  </si>
  <si>
    <t>Cocinero</t>
  </si>
  <si>
    <t>Sanitarios</t>
  </si>
  <si>
    <t>Personal de Limpieza</t>
  </si>
  <si>
    <t>Servicio Médico</t>
  </si>
  <si>
    <t>Psicólogo</t>
  </si>
  <si>
    <t>Ventas</t>
  </si>
  <si>
    <t>Contador</t>
  </si>
  <si>
    <t>Abogado</t>
  </si>
  <si>
    <t>INVERSION TOTAL</t>
  </si>
  <si>
    <t>PASO 1</t>
  </si>
  <si>
    <t>RECURSOS PARA CONSTRUIR, REMODELAR Y ACONDICIONAR (GASTOS DE INSTALACIÓN)</t>
  </si>
  <si>
    <t>Monto</t>
  </si>
  <si>
    <t>Albañileria</t>
  </si>
  <si>
    <t>Plomería</t>
  </si>
  <si>
    <t>Pintura</t>
  </si>
  <si>
    <t>Herrería</t>
  </si>
  <si>
    <t>Electricidad</t>
  </si>
  <si>
    <t>Acondicionamiento de las áreas de trabajo</t>
  </si>
  <si>
    <t>Varios</t>
  </si>
  <si>
    <t>Imprevistos</t>
  </si>
  <si>
    <t>Espacio requerido:</t>
  </si>
  <si>
    <t>mts. Cuadrados</t>
  </si>
  <si>
    <t>PASO 2</t>
  </si>
  <si>
    <t>RECURSOS PARA EQUIPAR (INVERSIÓN FIJA)</t>
  </si>
  <si>
    <t>Concepto</t>
  </si>
  <si>
    <t>Unidades</t>
  </si>
  <si>
    <t>Precio Unitario</t>
  </si>
  <si>
    <t>Propiedades, planta y equipo (activo fijo)</t>
  </si>
  <si>
    <t>Terrenos</t>
  </si>
  <si>
    <t>Edificios</t>
  </si>
  <si>
    <t>Mobiliario y equipo de oficina</t>
  </si>
  <si>
    <t xml:space="preserve">     Escritorios</t>
  </si>
  <si>
    <t xml:space="preserve">     Mesas para juntas</t>
  </si>
  <si>
    <t xml:space="preserve">     Sillas</t>
  </si>
  <si>
    <t xml:space="preserve">     Archiveros</t>
  </si>
  <si>
    <t>Equipo de cómputo</t>
  </si>
  <si>
    <t xml:space="preserve">    Computadoras</t>
  </si>
  <si>
    <t xml:space="preserve">    Impresoras</t>
  </si>
  <si>
    <t xml:space="preserve">    Servidores</t>
  </si>
  <si>
    <t xml:space="preserve">    Scanner</t>
  </si>
  <si>
    <t xml:space="preserve">    Ploters</t>
  </si>
  <si>
    <t>Equipo de entrega o de reparto</t>
  </si>
  <si>
    <t xml:space="preserve">    Camionetas</t>
  </si>
  <si>
    <t xml:space="preserve">    Motocicletas</t>
  </si>
  <si>
    <t xml:space="preserve">    Automóviles</t>
  </si>
  <si>
    <t>Equipo de producción</t>
  </si>
  <si>
    <t xml:space="preserve">    Maquinaria</t>
  </si>
  <si>
    <t xml:space="preserve">    Mesas de trabajo</t>
  </si>
  <si>
    <t xml:space="preserve">   Herramientas y equipo</t>
  </si>
  <si>
    <t>PASO 3</t>
  </si>
  <si>
    <t>RECURSOS PARA INICIAR</t>
  </si>
  <si>
    <t>Costo/mes</t>
  </si>
  <si>
    <t>Meses</t>
  </si>
  <si>
    <t>Depósitos de renta  (1)</t>
  </si>
  <si>
    <t>Pago de renta mensual (meses que se pagarán previos a la operación de la empresa)</t>
  </si>
  <si>
    <t xml:space="preserve">Publicidad inicial </t>
  </si>
  <si>
    <t>Licencias y permisos gubernamentales para iniciar operaciones (abrir el negocio)</t>
  </si>
  <si>
    <t>Acta constitutiva</t>
  </si>
  <si>
    <t>Contratación Líneas telefónicas</t>
  </si>
  <si>
    <t>Contratación de gas</t>
  </si>
  <si>
    <t>Contratación de cable</t>
  </si>
  <si>
    <t xml:space="preserve">Material de limpieza (Escobas, cubetas, jergas) </t>
  </si>
  <si>
    <t>Papelería</t>
  </si>
  <si>
    <t>Licencias de software</t>
  </si>
  <si>
    <t>Capital de trabajo</t>
  </si>
  <si>
    <t xml:space="preserve">      Sueldos para el primer mes de operación y si es necesario para algunos meses previos</t>
  </si>
  <si>
    <t xml:space="preserve">      Materia prima para el primer mes de operación (inventarios)</t>
  </si>
  <si>
    <t>Pago a capital (en caso de solicitar financiamiento)</t>
  </si>
  <si>
    <t>Pago de intereses (en caso de solicitar financiamiento)</t>
  </si>
  <si>
    <t>Total (previo a financiamiento)</t>
  </si>
  <si>
    <t>Paso 4</t>
  </si>
  <si>
    <t>INVERSIÓN TOTAL</t>
  </si>
  <si>
    <t>Recursos para remodelar</t>
  </si>
  <si>
    <t>Recursos para equipar</t>
  </si>
  <si>
    <t>Recursos para iniciar</t>
  </si>
  <si>
    <t>Total de inversión</t>
  </si>
  <si>
    <t>Disponible / capital social</t>
  </si>
  <si>
    <t>Financiamiento requerido</t>
  </si>
  <si>
    <t>Financiamiento</t>
  </si>
  <si>
    <t>Mes</t>
  </si>
  <si>
    <t>Interes Mensual</t>
  </si>
  <si>
    <t>Pago Mensual</t>
  </si>
  <si>
    <t>Pago a principal</t>
  </si>
  <si>
    <t>Deuda despues del Pago</t>
  </si>
  <si>
    <t>Tasa de Interes</t>
  </si>
  <si>
    <t>Deuda</t>
  </si>
  <si>
    <t>ESTIMADO DE DEPRECIACIÓN DEL ACTIVO FIJO (INMUEBLES, PLANTA Y EQUIPO)</t>
  </si>
  <si>
    <t>Los porcentajes de depreciación están en el artículo 34 de la Ley del ISR</t>
  </si>
  <si>
    <t>UBICACIÓN: DEPTO/ÁREA</t>
  </si>
  <si>
    <t>Inversión (activo fijo)</t>
  </si>
  <si>
    <t>% de dep. anual máximo ley ISR</t>
  </si>
  <si>
    <t>Vida útil (años)</t>
  </si>
  <si>
    <t>Costo de adquisición</t>
  </si>
  <si>
    <t>Valor residual estimado</t>
  </si>
  <si>
    <t>depreciación anual por unidad por el método de linea recta</t>
  </si>
  <si>
    <t>Número de unidades</t>
  </si>
  <si>
    <t>Monto total de dep. anual</t>
  </si>
  <si>
    <t>Monto de la depreciación mensual</t>
  </si>
  <si>
    <t>PRODUCCIÓN/ SERVICIO</t>
  </si>
  <si>
    <t xml:space="preserve">           Escritorio</t>
  </si>
  <si>
    <t xml:space="preserve">           Silla ejecutiva</t>
  </si>
  <si>
    <t xml:space="preserve">           Archivero</t>
  </si>
  <si>
    <t>Mesas para Juntas</t>
  </si>
  <si>
    <t xml:space="preserve">           Computadora</t>
  </si>
  <si>
    <t xml:space="preserve">           Impresora</t>
  </si>
  <si>
    <t>Servidores</t>
  </si>
  <si>
    <t>TOTAL DE DEPRECIACIÓN ANUAL A CARGO DEL ÁREA DE PRODUCCIÓN O DE PRESTACIÓN DE SERVICIOS</t>
  </si>
  <si>
    <t>VENTAS</t>
  </si>
  <si>
    <t>TOTAL DE DEPRECIACIÓN ANUAL A CARGO DEL ÁREA DE DE VENTAS</t>
  </si>
  <si>
    <t>ADMINISTRACIÓN</t>
  </si>
  <si>
    <t>TOTAL DE DEPRECIACIÓN ANUAL A CARGO DEL ÁREA DE ADMINISTRACIÓN</t>
  </si>
  <si>
    <t>NOTA</t>
  </si>
  <si>
    <t>Para el cálculo de la depreciación utilizar el método de linea recta</t>
  </si>
  <si>
    <t>TOTAL DE DEPRECIACIÓN</t>
  </si>
  <si>
    <t>Costo Premium</t>
  </si>
  <si>
    <t>PROMEDIO GENERAL DE INFLACIÓN PARA LOS PRÓXIMOS 5 AÑOS =</t>
  </si>
  <si>
    <t>ESTIMACIÓN DEL COSTO VARIBALE UNITARIO</t>
  </si>
  <si>
    <t>CONCEPTO</t>
  </si>
  <si>
    <t>AREA/DEPTO.</t>
  </si>
  <si>
    <t>ÁREA/DEPTO.</t>
  </si>
  <si>
    <t>PRODUCCIÓN</t>
  </si>
  <si>
    <t>EZRecistence Premium</t>
  </si>
  <si>
    <t>COSTO  Y GASTO VARIABLE POR ÁREA</t>
  </si>
  <si>
    <t>COSTO y GASTO VARIABLE UNITARIO (C.V.U)</t>
  </si>
  <si>
    <t>UNIDADES A PRODUCIR POR AÑO</t>
  </si>
  <si>
    <t>COSTO VARIABLE TOTAL (C.V.T)</t>
  </si>
  <si>
    <t>ESTIMACIÓN DE GASTOS VARIABLES Y COSTOS FIJOS POR ÁREA</t>
  </si>
  <si>
    <t>COSTO DE PRODUCCIÓN</t>
  </si>
  <si>
    <t>GASTOS DE VENTA</t>
  </si>
  <si>
    <t>GASTOS DE ADMÓN</t>
  </si>
  <si>
    <t>TOTAL ANUAL</t>
  </si>
  <si>
    <t>TOTAL MENSUAL TODOS LAS ÁREAS</t>
  </si>
  <si>
    <t>TOTAL ANUAL TODAS LAS ÁREAS</t>
  </si>
  <si>
    <t>MENSUAL</t>
  </si>
  <si>
    <t>ANUAL</t>
  </si>
  <si>
    <t>Costos y gastos variables totales</t>
  </si>
  <si>
    <t>Tarifa Google Play</t>
  </si>
  <si>
    <t>Costos y gastos fijos</t>
  </si>
  <si>
    <t>Sueldos/remuneraciones</t>
  </si>
  <si>
    <t>Renta</t>
  </si>
  <si>
    <t>Luz, agua y predial</t>
  </si>
  <si>
    <t>Servicio telefónico</t>
  </si>
  <si>
    <t>Publicidad</t>
  </si>
  <si>
    <t>Material de aseo y limpieza</t>
  </si>
  <si>
    <t>Depreciación del activo fijo</t>
  </si>
  <si>
    <t>COSTO TOTAL POR ÁREA (CVT + CF)</t>
  </si>
  <si>
    <t>ESTIMACIÓN DEL PRECIO DE VENTA POR UNIDAD AÑO 2020</t>
  </si>
  <si>
    <t>ESTIMACIÓN DEL PRECIO DE VENTA POR UNIDAD AÑO 2021</t>
  </si>
  <si>
    <t>ESTIMACIÓN DEL PRECIO DE VENTA POR UNIDAD AÑO 2022</t>
  </si>
  <si>
    <t>ESTIMACIÓN DEL PRECIO DE VENTA POR UNIDAD AÑO 2023</t>
  </si>
  <si>
    <t>ESTIMACIÓN DEL PRECIO DE VENTA POR UNIDAD AÑO 2024</t>
  </si>
  <si>
    <t>ESTIMACIÓN DEL PRECIO DE VENTA POR UNIDAD AÑO 2025</t>
  </si>
  <si>
    <t xml:space="preserve">COSTO TOTAL </t>
  </si>
  <si>
    <t>COSTO TOTAL</t>
  </si>
  <si>
    <t>COSTO TOTAL POR APP</t>
  </si>
  <si>
    <t>UTILIDAD SOBRE EL COSTO TOTAL</t>
  </si>
  <si>
    <t>PRECIO DE VENTA UNITARIO por costeo</t>
  </si>
  <si>
    <t xml:space="preserve">                 PRECIO DE VENTA UNITARIO POR COSTEO</t>
  </si>
  <si>
    <t>PRECIO DE VENTA EN EL MERCADO</t>
  </si>
  <si>
    <t xml:space="preserve">                               PRECIO DE VENTA EN EL MERCADO</t>
  </si>
  <si>
    <t>PRESUPUESTO DE GASTOS FINANCIEROS</t>
  </si>
  <si>
    <t>Pago de intereses</t>
  </si>
  <si>
    <t>Servicio</t>
  </si>
  <si>
    <t>Cantidad</t>
  </si>
  <si>
    <t>Precio</t>
  </si>
  <si>
    <t>Ingresos</t>
  </si>
  <si>
    <t>Suscripcion</t>
  </si>
  <si>
    <t>Ingresos Anuales</t>
  </si>
  <si>
    <t>PUNTO DE EQUILIBRIO</t>
  </si>
  <si>
    <t>Mensual</t>
  </si>
  <si>
    <t>Anual</t>
  </si>
  <si>
    <t>P.E. en Q</t>
  </si>
  <si>
    <t>P.E. en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</si>
</sst>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"/>
    <numFmt numFmtId="167" formatCode="_-[$$-80A]* #,##0.00_-;\-[$$-80A]* #,##0.00_-;_-[$$-80A]* &quot;-&quot;??_-;_-@_-"/>
    <numFmt numFmtId="168" formatCode="_-&quot;$&quot;* #,##0.0000000_-;\-&quot;$&quot;* #,##0.0000000_-;_-&quot;$&quot;* &quot;-&quot;??_-;_-@_-"/>
    <numFmt numFmtId="169" formatCode="0.0"/>
  </numFmts>
  <fonts count="32" x14ac:knownFonts="1"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u/>
      <sz val="12"/>
      <color theme="1"/>
      <name val="Arial"/>
      <family val="2"/>
    </font>
    <font>
      <b/>
      <sz val="12"/>
      <color theme="3"/>
      <name val="Arial"/>
      <family val="2"/>
    </font>
    <font>
      <b/>
      <sz val="10"/>
      <name val="Lucida Console"/>
      <family val="3"/>
    </font>
    <font>
      <sz val="12"/>
      <name val="Calibri"/>
      <family val="2"/>
      <scheme val="minor"/>
    </font>
    <font>
      <sz val="12"/>
      <name val="Arial"/>
      <family val="2"/>
    </font>
    <font>
      <b/>
      <sz val="14"/>
      <name val="Calibri"/>
      <family val="2"/>
      <scheme val="minor"/>
    </font>
    <font>
      <b/>
      <i/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1"/>
      <color theme="1"/>
      <name val="Calibri"/>
      <charset val="1"/>
    </font>
    <font>
      <b/>
      <sz val="16"/>
      <color theme="1"/>
      <name val="Calibri"/>
      <scheme val="minor"/>
    </font>
    <font>
      <b/>
      <sz val="12"/>
      <color theme="1"/>
      <name val="Arial"/>
      <family val="2"/>
    </font>
    <font>
      <sz val="12"/>
      <color theme="1"/>
      <name val="Arial"/>
    </font>
    <font>
      <b/>
      <sz val="12"/>
      <color theme="1"/>
      <name val="Arial"/>
    </font>
    <font>
      <b/>
      <sz val="14"/>
      <color theme="1"/>
      <name val="Calibri"/>
      <scheme val="minor"/>
    </font>
    <font>
      <b/>
      <sz val="11"/>
      <color theme="1"/>
      <name val="Calibri"/>
      <scheme val="minor"/>
    </font>
    <font>
      <b/>
      <sz val="11"/>
      <color rgb="FF0070C0"/>
      <name val="Calibri"/>
      <scheme val="minor"/>
    </font>
    <font>
      <b/>
      <sz val="11"/>
      <color theme="4"/>
      <name val="Calibri"/>
      <scheme val="minor"/>
    </font>
    <font>
      <b/>
      <sz val="14"/>
      <color theme="4"/>
      <name val="Calibri"/>
      <scheme val="minor"/>
    </font>
    <font>
      <sz val="12"/>
      <color rgb="FF000000"/>
      <name val="Arial"/>
    </font>
    <font>
      <sz val="12"/>
      <color rgb="FF000000"/>
      <name val="Arial"/>
      <family val="2"/>
    </font>
    <font>
      <b/>
      <sz val="12"/>
      <color theme="4"/>
      <name val="Arial"/>
    </font>
    <font>
      <b/>
      <sz val="12"/>
      <color rgb="FF4472C4"/>
      <name val="Arial"/>
    </font>
    <font>
      <sz val="12"/>
      <color rgb="FFF2F2F2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gradientFill type="path" top="1" bottom="1">
        <stop position="0">
          <color theme="0"/>
        </stop>
        <stop position="1">
          <color theme="4"/>
        </stop>
      </gradientFill>
    </fill>
    <fill>
      <patternFill patternType="solid">
        <fgColor indexed="65"/>
        <bgColor theme="0"/>
      </patternFill>
    </fill>
    <fill>
      <gradientFill degree="90">
        <stop position="0">
          <color theme="3"/>
        </stop>
        <stop position="0.5">
          <color theme="4"/>
        </stop>
        <stop position="1">
          <color theme="3"/>
        </stop>
      </gradientFill>
    </fill>
    <fill>
      <patternFill patternType="solid">
        <fgColor theme="4" tint="0.59999389629810485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/>
        <bgColor theme="0"/>
      </patternFill>
    </fill>
    <fill>
      <patternFill patternType="solid">
        <fgColor indexed="44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C6591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00000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theme="1"/>
      </left>
      <right style="thin">
        <color indexed="64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/>
      <top style="thick">
        <color theme="1"/>
      </top>
      <bottom style="thick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n">
        <color indexed="64"/>
      </bottom>
      <diagonal/>
    </border>
    <border>
      <left style="thick">
        <color theme="1"/>
      </left>
      <right/>
      <top style="thick">
        <color theme="1"/>
      </top>
      <bottom style="thin">
        <color indexed="64"/>
      </bottom>
      <diagonal/>
    </border>
    <border>
      <left/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/>
      <top style="thick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 style="thick">
        <color theme="1"/>
      </right>
      <top style="thick">
        <color theme="1"/>
      </top>
      <bottom style="thin">
        <color indexed="64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1"/>
      </bottom>
      <diagonal/>
    </border>
    <border>
      <left/>
      <right style="thin">
        <color indexed="64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/>
      <top style="thin">
        <color indexed="64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ck">
        <color theme="1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n">
        <color indexed="64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theme="1"/>
      </right>
      <top style="thin">
        <color indexed="64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1"/>
      </left>
      <right/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ck">
        <color theme="1"/>
      </right>
      <top style="thick">
        <color theme="1"/>
      </top>
      <bottom/>
      <diagonal/>
    </border>
    <border>
      <left style="thin">
        <color indexed="64"/>
      </left>
      <right style="thick">
        <color theme="1"/>
      </right>
      <top/>
      <bottom style="thick">
        <color theme="1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87">
    <xf numFmtId="0" fontId="0" fillId="0" borderId="0" xfId="0"/>
    <xf numFmtId="0" fontId="4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8" fontId="0" fillId="3" borderId="0" xfId="0" applyNumberFormat="1" applyFill="1" applyAlignment="1">
      <alignment horizontal="right"/>
    </xf>
    <xf numFmtId="0" fontId="6" fillId="4" borderId="0" xfId="0" applyFont="1" applyFill="1"/>
    <xf numFmtId="0" fontId="0" fillId="5" borderId="0" xfId="0" applyFill="1"/>
    <xf numFmtId="8" fontId="0" fillId="5" borderId="0" xfId="0" applyNumberFormat="1" applyFill="1" applyAlignment="1">
      <alignment horizontal="right"/>
    </xf>
    <xf numFmtId="0" fontId="9" fillId="0" borderId="0" xfId="2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 vertical="center"/>
    </xf>
    <xf numFmtId="6" fontId="13" fillId="9" borderId="7" xfId="0" applyNumberFormat="1" applyFont="1" applyFill="1" applyBorder="1" applyAlignment="1">
      <alignment horizontal="center" vertical="center" wrapText="1"/>
    </xf>
    <xf numFmtId="0" fontId="12" fillId="5" borderId="1" xfId="0" applyFont="1" applyFill="1" applyBorder="1"/>
    <xf numFmtId="0" fontId="0" fillId="5" borderId="2" xfId="0" applyFill="1" applyBorder="1"/>
    <xf numFmtId="8" fontId="0" fillId="5" borderId="3" xfId="0" applyNumberFormat="1" applyFill="1" applyBorder="1" applyAlignment="1">
      <alignment horizontal="right"/>
    </xf>
    <xf numFmtId="166" fontId="12" fillId="9" borderId="3" xfId="1" applyNumberFormat="1" applyFont="1" applyFill="1" applyBorder="1" applyAlignment="1">
      <alignment horizontal="center" vertical="center"/>
    </xf>
    <xf numFmtId="0" fontId="12" fillId="10" borderId="0" xfId="0" applyFont="1" applyFill="1" applyAlignment="1">
      <alignment horizontal="right" vertical="center"/>
    </xf>
    <xf numFmtId="0" fontId="12" fillId="9" borderId="0" xfId="0" applyFont="1" applyFill="1" applyAlignment="1">
      <alignment horizontal="center"/>
    </xf>
    <xf numFmtId="8" fontId="13" fillId="5" borderId="0" xfId="0" applyNumberFormat="1" applyFont="1" applyFill="1" applyAlignment="1">
      <alignment horizontal="right"/>
    </xf>
    <xf numFmtId="0" fontId="14" fillId="5" borderId="0" xfId="0" applyFont="1" applyFill="1"/>
    <xf numFmtId="0" fontId="12" fillId="7" borderId="8" xfId="0" applyFont="1" applyFill="1" applyBorder="1" applyAlignment="1">
      <alignment horizontal="center" vertical="center"/>
    </xf>
    <xf numFmtId="0" fontId="15" fillId="7" borderId="8" xfId="0" applyFont="1" applyFill="1" applyBorder="1" applyAlignment="1">
      <alignment horizontal="center" vertical="center"/>
    </xf>
    <xf numFmtId="8" fontId="12" fillId="7" borderId="8" xfId="0" applyNumberFormat="1" applyFont="1" applyFill="1" applyBorder="1" applyAlignment="1">
      <alignment horizontal="right" vertical="center"/>
    </xf>
    <xf numFmtId="0" fontId="16" fillId="8" borderId="8" xfId="0" applyFont="1" applyFill="1" applyBorder="1" applyAlignment="1">
      <alignment horizontal="center" wrapText="1"/>
    </xf>
    <xf numFmtId="0" fontId="13" fillId="11" borderId="8" xfId="0" applyFont="1" applyFill="1" applyBorder="1" applyAlignment="1">
      <alignment horizontal="center"/>
    </xf>
    <xf numFmtId="164" fontId="13" fillId="11" borderId="8" xfId="0" applyNumberFormat="1" applyFont="1" applyFill="1" applyBorder="1"/>
    <xf numFmtId="8" fontId="13" fillId="9" borderId="8" xfId="0" applyNumberFormat="1" applyFont="1" applyFill="1" applyBorder="1" applyAlignment="1">
      <alignment horizontal="right" vertical="center" wrapText="1"/>
    </xf>
    <xf numFmtId="0" fontId="12" fillId="8" borderId="7" xfId="0" applyFont="1" applyFill="1" applyBorder="1" applyAlignment="1">
      <alignment wrapText="1"/>
    </xf>
    <xf numFmtId="0" fontId="13" fillId="11" borderId="7" xfId="0" applyFont="1" applyFill="1" applyBorder="1" applyAlignment="1">
      <alignment horizontal="center"/>
    </xf>
    <xf numFmtId="164" fontId="13" fillId="11" borderId="7" xfId="0" applyNumberFormat="1" applyFont="1" applyFill="1" applyBorder="1"/>
    <xf numFmtId="8" fontId="12" fillId="9" borderId="7" xfId="0" applyNumberFormat="1" applyFont="1" applyFill="1" applyBorder="1" applyAlignment="1">
      <alignment horizontal="right" vertical="center" wrapText="1"/>
    </xf>
    <xf numFmtId="0" fontId="13" fillId="8" borderId="7" xfId="0" applyFont="1" applyFill="1" applyBorder="1" applyAlignment="1">
      <alignment wrapText="1"/>
    </xf>
    <xf numFmtId="8" fontId="13" fillId="9" borderId="7" xfId="0" applyNumberFormat="1" applyFont="1" applyFill="1" applyBorder="1" applyAlignment="1">
      <alignment horizontal="right" vertical="center" wrapText="1"/>
    </xf>
    <xf numFmtId="0" fontId="12" fillId="5" borderId="9" xfId="0" applyFont="1" applyFill="1" applyBorder="1"/>
    <xf numFmtId="0" fontId="14" fillId="5" borderId="9" xfId="0" applyFont="1" applyFill="1" applyBorder="1" applyAlignment="1">
      <alignment horizontal="center" vertical="center" wrapText="1"/>
    </xf>
    <xf numFmtId="8" fontId="12" fillId="9" borderId="9" xfId="1" applyNumberFormat="1" applyFont="1" applyFill="1" applyBorder="1" applyAlignment="1">
      <alignment horizontal="right" vertical="center"/>
    </xf>
    <xf numFmtId="0" fontId="13" fillId="8" borderId="5" xfId="0" applyFont="1" applyFill="1" applyBorder="1" applyAlignment="1">
      <alignment vertical="center" wrapText="1"/>
    </xf>
    <xf numFmtId="6" fontId="13" fillId="8" borderId="5" xfId="0" applyNumberFormat="1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horizontal="center" vertical="center" wrapText="1"/>
    </xf>
    <xf numFmtId="0" fontId="12" fillId="8" borderId="5" xfId="0" applyFont="1" applyFill="1" applyBorder="1" applyAlignment="1">
      <alignment wrapText="1"/>
    </xf>
    <xf numFmtId="8" fontId="12" fillId="9" borderId="3" xfId="1" applyNumberFormat="1" applyFont="1" applyFill="1" applyBorder="1" applyAlignment="1">
      <alignment horizontal="right" vertical="center"/>
    </xf>
    <xf numFmtId="0" fontId="13" fillId="9" borderId="5" xfId="0" applyFont="1" applyFill="1" applyBorder="1"/>
    <xf numFmtId="0" fontId="13" fillId="9" borderId="9" xfId="0" applyFont="1" applyFill="1" applyBorder="1"/>
    <xf numFmtId="0" fontId="13" fillId="9" borderId="0" xfId="0" applyFont="1" applyFill="1"/>
    <xf numFmtId="0" fontId="13" fillId="9" borderId="10" xfId="0" applyFont="1" applyFill="1" applyBorder="1"/>
    <xf numFmtId="0" fontId="12" fillId="5" borderId="2" xfId="0" applyFont="1" applyFill="1" applyBorder="1"/>
    <xf numFmtId="0" fontId="13" fillId="8" borderId="7" xfId="0" applyFont="1" applyFill="1" applyBorder="1" applyAlignment="1">
      <alignment horizontal="left" vertical="center" wrapText="1"/>
    </xf>
    <xf numFmtId="0" fontId="2" fillId="12" borderId="0" xfId="0" applyFont="1" applyFill="1" applyAlignment="1">
      <alignment horizontal="center"/>
    </xf>
    <xf numFmtId="0" fontId="17" fillId="3" borderId="0" xfId="0" applyFont="1" applyFill="1"/>
    <xf numFmtId="0" fontId="17" fillId="3" borderId="0" xfId="0" applyFont="1" applyFill="1" applyAlignment="1">
      <alignment horizontal="center"/>
    </xf>
    <xf numFmtId="167" fontId="17" fillId="3" borderId="0" xfId="0" applyNumberFormat="1" applyFont="1" applyFill="1"/>
    <xf numFmtId="0" fontId="17" fillId="13" borderId="0" xfId="0" applyFont="1" applyFill="1"/>
    <xf numFmtId="0" fontId="17" fillId="13" borderId="0" xfId="0" applyFont="1" applyFill="1" applyAlignment="1">
      <alignment horizontal="center"/>
    </xf>
    <xf numFmtId="167" fontId="17" fillId="13" borderId="0" xfId="0" applyNumberFormat="1" applyFont="1" applyFill="1"/>
    <xf numFmtId="0" fontId="0" fillId="13" borderId="0" xfId="0" applyFill="1"/>
    <xf numFmtId="167" fontId="0" fillId="3" borderId="0" xfId="0" applyNumberFormat="1" applyFill="1"/>
    <xf numFmtId="0" fontId="2" fillId="12" borderId="0" xfId="0" applyFont="1" applyFill="1" applyAlignment="1">
      <alignment horizontal="center" vertical="center" wrapText="1"/>
    </xf>
    <xf numFmtId="44" fontId="0" fillId="13" borderId="0" xfId="1" applyFont="1" applyFill="1" applyAlignment="1">
      <alignment horizontal="center" vertical="center" wrapText="1"/>
    </xf>
    <xf numFmtId="44" fontId="0" fillId="13" borderId="0" xfId="1" applyFont="1" applyFill="1" applyAlignment="1">
      <alignment vertical="center"/>
    </xf>
    <xf numFmtId="0" fontId="0" fillId="3" borderId="0" xfId="0" applyFill="1" applyAlignment="1">
      <alignment horizontal="center" vertical="center" wrapText="1"/>
    </xf>
    <xf numFmtId="44" fontId="0" fillId="3" borderId="0" xfId="1" applyFont="1" applyFill="1" applyAlignment="1">
      <alignment horizontal="center" vertical="center" wrapText="1"/>
    </xf>
    <xf numFmtId="44" fontId="0" fillId="3" borderId="0" xfId="1" applyFont="1" applyFill="1" applyAlignment="1">
      <alignment vertical="center"/>
    </xf>
    <xf numFmtId="0" fontId="2" fillId="12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 vertical="center"/>
    </xf>
    <xf numFmtId="44" fontId="0" fillId="3" borderId="0" xfId="1" applyFont="1" applyFill="1" applyBorder="1"/>
    <xf numFmtId="168" fontId="0" fillId="3" borderId="0" xfId="0" applyNumberFormat="1" applyFill="1"/>
    <xf numFmtId="0" fontId="0" fillId="13" borderId="0" xfId="0" applyFill="1" applyAlignment="1">
      <alignment horizontal="center" vertical="center"/>
    </xf>
    <xf numFmtId="44" fontId="0" fillId="13" borderId="0" xfId="1" applyFont="1" applyFill="1" applyBorder="1"/>
    <xf numFmtId="9" fontId="0" fillId="3" borderId="0" xfId="3" applyFont="1" applyFill="1"/>
    <xf numFmtId="0" fontId="0" fillId="3" borderId="0" xfId="0" applyFill="1" applyAlignment="1">
      <alignment vertical="center"/>
    </xf>
    <xf numFmtId="44" fontId="0" fillId="3" borderId="0" xfId="0" applyNumberFormat="1" applyFill="1"/>
    <xf numFmtId="6" fontId="0" fillId="3" borderId="0" xfId="1" applyNumberFormat="1" applyFont="1" applyFill="1"/>
    <xf numFmtId="44" fontId="13" fillId="8" borderId="5" xfId="0" applyNumberFormat="1" applyFont="1" applyFill="1" applyBorder="1" applyAlignment="1">
      <alignment horizontal="center" vertical="center" wrapText="1"/>
    </xf>
    <xf numFmtId="0" fontId="0" fillId="3" borderId="0" xfId="0" applyNumberFormat="1" applyFill="1" applyAlignment="1">
      <alignment horizontal="center" vertical="center"/>
    </xf>
    <xf numFmtId="0" fontId="0" fillId="14" borderId="0" xfId="0" applyFill="1"/>
    <xf numFmtId="0" fontId="0" fillId="0" borderId="4" xfId="0" applyBorder="1" applyAlignment="1">
      <alignment horizontal="center" vertical="center" wrapText="1"/>
    </xf>
    <xf numFmtId="0" fontId="0" fillId="16" borderId="6" xfId="0" applyFill="1" applyBorder="1"/>
    <xf numFmtId="0" fontId="0" fillId="0" borderId="0" xfId="0"/>
    <xf numFmtId="0" fontId="20" fillId="14" borderId="0" xfId="0" applyFont="1" applyFill="1"/>
    <xf numFmtId="0" fontId="20" fillId="0" borderId="4" xfId="0" applyFont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169" fontId="0" fillId="18" borderId="0" xfId="0" applyNumberFormat="1" applyFill="1"/>
    <xf numFmtId="0" fontId="20" fillId="0" borderId="14" xfId="0" applyFont="1" applyBorder="1"/>
    <xf numFmtId="0" fontId="0" fillId="0" borderId="14" xfId="0" applyBorder="1"/>
    <xf numFmtId="169" fontId="0" fillId="0" borderId="0" xfId="0" applyNumberFormat="1"/>
    <xf numFmtId="0" fontId="20" fillId="19" borderId="14" xfId="0" applyFont="1" applyFill="1" applyBorder="1" applyAlignment="1">
      <alignment horizontal="center"/>
    </xf>
    <xf numFmtId="0" fontId="20" fillId="19" borderId="14" xfId="0" applyFont="1" applyFill="1" applyBorder="1"/>
    <xf numFmtId="169" fontId="0" fillId="16" borderId="6" xfId="0" applyNumberFormat="1" applyFill="1" applyBorder="1"/>
    <xf numFmtId="169" fontId="20" fillId="0" borderId="14" xfId="0" applyNumberFormat="1" applyFont="1" applyBorder="1"/>
    <xf numFmtId="169" fontId="0" fillId="0" borderId="14" xfId="0" applyNumberFormat="1" applyBorder="1"/>
    <xf numFmtId="0" fontId="20" fillId="0" borderId="14" xfId="0" applyFont="1" applyBorder="1" applyAlignment="1">
      <alignment horizontal="center"/>
    </xf>
    <xf numFmtId="0" fontId="0" fillId="0" borderId="4" xfId="0" applyBorder="1" applyAlignment="1">
      <alignment vertical="center"/>
    </xf>
    <xf numFmtId="169" fontId="0" fillId="17" borderId="13" xfId="0" applyNumberFormat="1" applyFill="1" applyBorder="1"/>
    <xf numFmtId="169" fontId="0" fillId="20" borderId="13" xfId="0" applyNumberFormat="1" applyFill="1" applyBorder="1"/>
    <xf numFmtId="2" fontId="0" fillId="0" borderId="14" xfId="0" applyNumberFormat="1" applyBorder="1"/>
    <xf numFmtId="2" fontId="0" fillId="17" borderId="13" xfId="0" applyNumberFormat="1" applyFill="1" applyBorder="1"/>
    <xf numFmtId="169" fontId="0" fillId="17" borderId="0" xfId="0" applyNumberFormat="1" applyFill="1"/>
    <xf numFmtId="169" fontId="0" fillId="20" borderId="0" xfId="0" applyNumberFormat="1" applyFill="1"/>
    <xf numFmtId="2" fontId="0" fillId="21" borderId="0" xfId="0" applyNumberFormat="1" applyFill="1"/>
    <xf numFmtId="169" fontId="0" fillId="21" borderId="0" xfId="0" applyNumberFormat="1" applyFill="1"/>
    <xf numFmtId="8" fontId="13" fillId="9" borderId="7" xfId="0" applyNumberFormat="1" applyFont="1" applyFill="1" applyBorder="1" applyAlignment="1">
      <alignment horizontal="center" vertical="center" wrapText="1"/>
    </xf>
    <xf numFmtId="0" fontId="20" fillId="0" borderId="0" xfId="0" applyFont="1"/>
    <xf numFmtId="0" fontId="0" fillId="0" borderId="0" xfId="0" applyAlignment="1">
      <alignment horizontal="right"/>
    </xf>
    <xf numFmtId="0" fontId="23" fillId="0" borderId="22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4" fillId="0" borderId="25" xfId="0" applyFont="1" applyBorder="1"/>
    <xf numFmtId="0" fontId="0" fillId="0" borderId="1" xfId="0" applyBorder="1"/>
    <xf numFmtId="0" fontId="0" fillId="0" borderId="25" xfId="0" applyBorder="1"/>
    <xf numFmtId="0" fontId="23" fillId="0" borderId="25" xfId="0" applyFont="1" applyBorder="1" applyAlignment="1">
      <alignment horizontal="left"/>
    </xf>
    <xf numFmtId="0" fontId="0" fillId="0" borderId="29" xfId="0" applyBorder="1"/>
    <xf numFmtId="0" fontId="23" fillId="0" borderId="43" xfId="0" applyFont="1" applyBorder="1" applyAlignment="1">
      <alignment horizontal="center"/>
    </xf>
    <xf numFmtId="0" fontId="23" fillId="0" borderId="44" xfId="0" applyFont="1" applyBorder="1" applyAlignment="1">
      <alignment horizontal="center"/>
    </xf>
    <xf numFmtId="0" fontId="23" fillId="0" borderId="45" xfId="0" applyFont="1" applyBorder="1" applyAlignment="1">
      <alignment horizontal="center"/>
    </xf>
    <xf numFmtId="0" fontId="25" fillId="25" borderId="11" xfId="0" applyFont="1" applyFill="1" applyBorder="1"/>
    <xf numFmtId="0" fontId="23" fillId="0" borderId="27" xfId="0" applyFont="1" applyBorder="1"/>
    <xf numFmtId="0" fontId="25" fillId="26" borderId="1" xfId="0" applyFont="1" applyFill="1" applyBorder="1"/>
    <xf numFmtId="0" fontId="26" fillId="27" borderId="1" xfId="0" applyFont="1" applyFill="1" applyBorder="1"/>
    <xf numFmtId="43" fontId="22" fillId="27" borderId="32" xfId="0" applyNumberFormat="1" applyFont="1" applyFill="1" applyBorder="1" applyAlignment="1">
      <alignment horizontal="right"/>
    </xf>
    <xf numFmtId="0" fontId="0" fillId="0" borderId="11" xfId="0" applyBorder="1"/>
    <xf numFmtId="43" fontId="0" fillId="0" borderId="9" xfId="0" applyNumberFormat="1" applyBorder="1"/>
    <xf numFmtId="43" fontId="0" fillId="0" borderId="12" xfId="0" applyNumberFormat="1" applyBorder="1" applyAlignment="1">
      <alignment horizontal="right"/>
    </xf>
    <xf numFmtId="0" fontId="0" fillId="0" borderId="5" xfId="0" applyBorder="1"/>
    <xf numFmtId="0" fontId="0" fillId="0" borderId="6" xfId="0" applyBorder="1" applyAlignment="1">
      <alignment horizontal="right"/>
    </xf>
    <xf numFmtId="0" fontId="0" fillId="28" borderId="5" xfId="0" applyFill="1" applyBorder="1"/>
    <xf numFmtId="0" fontId="0" fillId="28" borderId="23" xfId="0" applyFill="1" applyBorder="1"/>
    <xf numFmtId="0" fontId="0" fillId="0" borderId="10" xfId="0" applyBorder="1" applyAlignment="1">
      <alignment horizontal="right"/>
    </xf>
    <xf numFmtId="0" fontId="0" fillId="0" borderId="10" xfId="0" applyBorder="1"/>
    <xf numFmtId="0" fontId="0" fillId="28" borderId="10" xfId="0" applyFill="1" applyBorder="1"/>
    <xf numFmtId="0" fontId="0" fillId="28" borderId="36" xfId="0" applyFill="1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4" xfId="0" applyBorder="1"/>
    <xf numFmtId="0" fontId="0" fillId="0" borderId="55" xfId="0" applyFont="1" applyBorder="1" applyAlignment="1">
      <alignment horizontal="center" vertical="center" wrapText="1"/>
    </xf>
    <xf numFmtId="0" fontId="0" fillId="0" borderId="56" xfId="0" applyFont="1" applyBorder="1" applyAlignment="1">
      <alignment horizontal="center" vertical="center" wrapText="1"/>
    </xf>
    <xf numFmtId="44" fontId="0" fillId="0" borderId="0" xfId="1" applyFont="1"/>
    <xf numFmtId="8" fontId="0" fillId="3" borderId="0" xfId="0" applyNumberFormat="1" applyFill="1"/>
    <xf numFmtId="2" fontId="0" fillId="0" borderId="0" xfId="0" applyNumberFormat="1"/>
    <xf numFmtId="44" fontId="0" fillId="0" borderId="0" xfId="0" applyNumberFormat="1"/>
    <xf numFmtId="0" fontId="0" fillId="0" borderId="0" xfId="0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2" fontId="27" fillId="0" borderId="26" xfId="4" applyNumberFormat="1" applyFont="1" applyBorder="1" applyAlignment="1">
      <alignment horizontal="right"/>
    </xf>
    <xf numFmtId="2" fontId="28" fillId="0" borderId="3" xfId="4" applyNumberFormat="1" applyFont="1" applyBorder="1" applyAlignment="1">
      <alignment horizontal="right"/>
    </xf>
    <xf numFmtId="2" fontId="28" fillId="0" borderId="1" xfId="0" applyNumberFormat="1" applyFont="1" applyBorder="1"/>
    <xf numFmtId="2" fontId="28" fillId="0" borderId="0" xfId="0" applyNumberFormat="1" applyFont="1"/>
    <xf numFmtId="0" fontId="0" fillId="0" borderId="0" xfId="0" applyAlignment="1">
      <alignment horizontal="center" vertical="center" wrapText="1"/>
    </xf>
    <xf numFmtId="0" fontId="2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wrapText="1"/>
    </xf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/>
    <xf numFmtId="0" fontId="0" fillId="31" borderId="0" xfId="0" applyFill="1"/>
    <xf numFmtId="44" fontId="19" fillId="0" borderId="0" xfId="0" applyNumberFormat="1" applyFont="1"/>
    <xf numFmtId="0" fontId="22" fillId="0" borderId="60" xfId="0" applyFont="1" applyBorder="1"/>
    <xf numFmtId="0" fontId="0" fillId="0" borderId="61" xfId="0" applyBorder="1"/>
    <xf numFmtId="0" fontId="22" fillId="0" borderId="62" xfId="0" applyFont="1" applyBorder="1"/>
    <xf numFmtId="0" fontId="0" fillId="0" borderId="63" xfId="0" applyBorder="1"/>
    <xf numFmtId="0" fontId="0" fillId="0" borderId="17" xfId="0" applyBorder="1"/>
    <xf numFmtId="0" fontId="0" fillId="0" borderId="18" xfId="0" applyBorder="1"/>
    <xf numFmtId="0" fontId="0" fillId="0" borderId="64" xfId="0" applyBorder="1"/>
    <xf numFmtId="0" fontId="0" fillId="0" borderId="65" xfId="0" applyBorder="1"/>
    <xf numFmtId="0" fontId="23" fillId="0" borderId="23" xfId="0" applyFont="1" applyBorder="1" applyAlignment="1">
      <alignment horizontal="center"/>
    </xf>
    <xf numFmtId="2" fontId="28" fillId="0" borderId="26" xfId="4" applyNumberFormat="1" applyFont="1" applyBorder="1" applyAlignment="1">
      <alignment horizontal="right"/>
    </xf>
    <xf numFmtId="3" fontId="0" fillId="0" borderId="0" xfId="0" applyNumberFormat="1" applyAlignment="1">
      <alignment horizontal="right"/>
    </xf>
    <xf numFmtId="3" fontId="0" fillId="0" borderId="0" xfId="0" applyNumberFormat="1"/>
    <xf numFmtId="0" fontId="0" fillId="0" borderId="4" xfId="0" applyBorder="1" applyAlignment="1">
      <alignment horizontal="right"/>
    </xf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0" fillId="0" borderId="9" xfId="0" applyBorder="1" applyAlignment="1"/>
    <xf numFmtId="0" fontId="0" fillId="0" borderId="0" xfId="0" applyBorder="1" applyAlignment="1"/>
    <xf numFmtId="0" fontId="0" fillId="0" borderId="10" xfId="0" applyBorder="1" applyAlignment="1"/>
    <xf numFmtId="43" fontId="20" fillId="0" borderId="59" xfId="4" applyNumberFormat="1" applyFont="1" applyBorder="1" applyAlignment="1">
      <alignment horizontal="right"/>
    </xf>
    <xf numFmtId="43" fontId="21" fillId="0" borderId="59" xfId="0" applyNumberFormat="1" applyFont="1" applyBorder="1" applyAlignment="1">
      <alignment horizontal="center"/>
    </xf>
    <xf numFmtId="43" fontId="29" fillId="25" borderId="8" xfId="4" applyNumberFormat="1" applyFont="1" applyFill="1" applyBorder="1" applyAlignment="1">
      <alignment horizontal="right"/>
    </xf>
    <xf numFmtId="43" fontId="29" fillId="25" borderId="52" xfId="4" applyNumberFormat="1" applyFont="1" applyFill="1" applyBorder="1" applyAlignment="1">
      <alignment horizontal="right"/>
    </xf>
    <xf numFmtId="43" fontId="29" fillId="25" borderId="51" xfId="4" applyNumberFormat="1" applyFont="1" applyFill="1" applyBorder="1" applyAlignment="1">
      <alignment horizontal="right"/>
    </xf>
    <xf numFmtId="43" fontId="29" fillId="25" borderId="67" xfId="4" applyNumberFormat="1" applyFont="1" applyFill="1" applyBorder="1" applyAlignment="1">
      <alignment horizontal="right"/>
    </xf>
    <xf numFmtId="43" fontId="21" fillId="0" borderId="68" xfId="4" applyNumberFormat="1" applyFont="1" applyBorder="1" applyAlignment="1">
      <alignment horizontal="right"/>
    </xf>
    <xf numFmtId="43" fontId="21" fillId="0" borderId="59" xfId="4" applyNumberFormat="1" applyFont="1" applyBorder="1" applyAlignment="1">
      <alignment horizontal="right"/>
    </xf>
    <xf numFmtId="43" fontId="20" fillId="0" borderId="49" xfId="4" applyNumberFormat="1" applyFont="1" applyBorder="1" applyAlignment="1">
      <alignment horizontal="right"/>
    </xf>
    <xf numFmtId="43" fontId="20" fillId="0" borderId="4" xfId="4" applyNumberFormat="1" applyFont="1" applyBorder="1" applyAlignment="1">
      <alignment horizontal="right"/>
    </xf>
    <xf numFmtId="43" fontId="20" fillId="0" borderId="4" xfId="0" applyNumberFormat="1" applyFont="1" applyBorder="1" applyAlignment="1">
      <alignment horizontal="center"/>
    </xf>
    <xf numFmtId="43" fontId="20" fillId="0" borderId="50" xfId="0" applyNumberFormat="1" applyFont="1" applyBorder="1" applyAlignment="1">
      <alignment horizontal="center"/>
    </xf>
    <xf numFmtId="6" fontId="20" fillId="0" borderId="4" xfId="4" applyNumberFormat="1" applyFont="1" applyBorder="1" applyAlignment="1">
      <alignment horizontal="right"/>
    </xf>
    <xf numFmtId="8" fontId="20" fillId="0" borderId="4" xfId="4" applyNumberFormat="1" applyFont="1" applyBorder="1" applyAlignment="1">
      <alignment horizontal="right"/>
    </xf>
    <xf numFmtId="43" fontId="20" fillId="0" borderId="51" xfId="4" applyNumberFormat="1" applyFont="1" applyBorder="1" applyAlignment="1">
      <alignment horizontal="right"/>
    </xf>
    <xf numFmtId="43" fontId="20" fillId="0" borderId="8" xfId="4" applyNumberFormat="1" applyFont="1" applyBorder="1" applyAlignment="1">
      <alignment horizontal="right"/>
    </xf>
    <xf numFmtId="43" fontId="0" fillId="0" borderId="0" xfId="0" applyNumberFormat="1"/>
    <xf numFmtId="43" fontId="0" fillId="28" borderId="0" xfId="0" applyNumberFormat="1" applyFill="1"/>
    <xf numFmtId="2" fontId="0" fillId="28" borderId="10" xfId="0" applyNumberFormat="1" applyFill="1" applyBorder="1"/>
    <xf numFmtId="2" fontId="0" fillId="28" borderId="36" xfId="0" applyNumberFormat="1" applyFill="1" applyBorder="1" applyAlignment="1">
      <alignment horizontal="right"/>
    </xf>
    <xf numFmtId="43" fontId="30" fillId="29" borderId="59" xfId="0" applyNumberFormat="1" applyFont="1" applyFill="1" applyBorder="1"/>
    <xf numFmtId="0" fontId="0" fillId="0" borderId="0" xfId="0" applyAlignment="1">
      <alignment horizontal="center" vertical="center" wrapText="1"/>
    </xf>
    <xf numFmtId="0" fontId="2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0" fontId="13" fillId="8" borderId="5" xfId="0" applyFont="1" applyFill="1" applyBorder="1" applyAlignment="1">
      <alignment wrapText="1"/>
    </xf>
    <xf numFmtId="0" fontId="13" fillId="8" borderId="0" xfId="0" applyFont="1" applyFill="1" applyAlignment="1">
      <alignment wrapText="1"/>
    </xf>
    <xf numFmtId="0" fontId="13" fillId="8" borderId="6" xfId="0" applyFont="1" applyFill="1" applyBorder="1" applyAlignment="1">
      <alignment wrapText="1"/>
    </xf>
    <xf numFmtId="0" fontId="10" fillId="6" borderId="1" xfId="0" applyFont="1" applyFill="1" applyBorder="1" applyAlignment="1">
      <alignment horizontal="center" vertical="center" wrapText="1"/>
    </xf>
    <xf numFmtId="0" fontId="11" fillId="6" borderId="2" xfId="0" applyFont="1" applyFill="1" applyBorder="1" applyAlignment="1"/>
    <xf numFmtId="0" fontId="5" fillId="3" borderId="0" xfId="0" applyFont="1" applyFill="1" applyAlignment="1">
      <alignment horizontal="center" vertical="center"/>
    </xf>
    <xf numFmtId="0" fontId="7" fillId="0" borderId="0" xfId="2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0" fillId="6" borderId="2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11" fillId="6" borderId="3" xfId="0" applyFont="1" applyFill="1" applyBorder="1" applyAlignment="1"/>
    <xf numFmtId="0" fontId="12" fillId="6" borderId="2" xfId="0" applyFont="1" applyFill="1" applyBorder="1" applyAlignment="1">
      <alignment horizontal="center"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21" fillId="16" borderId="5" xfId="0" applyFont="1" applyFill="1" applyBorder="1" applyAlignment="1"/>
    <xf numFmtId="0" fontId="20" fillId="0" borderId="0" xfId="0" applyFont="1" applyAlignment="1"/>
    <xf numFmtId="0" fontId="20" fillId="0" borderId="6" xfId="0" applyFont="1" applyBorder="1" applyAlignment="1"/>
    <xf numFmtId="0" fontId="21" fillId="17" borderId="13" xfId="0" applyFont="1" applyFill="1" applyBorder="1" applyAlignment="1">
      <alignment horizontal="right"/>
    </xf>
    <xf numFmtId="0" fontId="19" fillId="21" borderId="9" xfId="0" applyFont="1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21" fillId="16" borderId="11" xfId="0" applyFont="1" applyFill="1" applyBorder="1" applyAlignment="1"/>
    <xf numFmtId="0" fontId="20" fillId="0" borderId="9" xfId="0" applyFont="1" applyBorder="1" applyAlignment="1"/>
    <xf numFmtId="0" fontId="20" fillId="0" borderId="12" xfId="0" applyFont="1" applyBorder="1" applyAlignment="1"/>
    <xf numFmtId="0" fontId="0" fillId="0" borderId="13" xfId="0" applyBorder="1" applyAlignment="1">
      <alignment horizontal="center" vertical="center"/>
    </xf>
    <xf numFmtId="0" fontId="22" fillId="23" borderId="32" xfId="0" applyFont="1" applyFill="1" applyBorder="1" applyAlignment="1">
      <alignment horizontal="center"/>
    </xf>
    <xf numFmtId="0" fontId="0" fillId="23" borderId="33" xfId="0" applyFill="1" applyBorder="1" applyAlignment="1"/>
    <xf numFmtId="0" fontId="0" fillId="23" borderId="35" xfId="0" applyFill="1" applyBorder="1" applyAlignment="1"/>
    <xf numFmtId="0" fontId="23" fillId="24" borderId="38" xfId="0" applyFont="1" applyFill="1" applyBorder="1" applyAlignment="1">
      <alignment horizontal="center" vertical="center" wrapText="1" shrinkToFit="1"/>
    </xf>
    <xf numFmtId="0" fontId="23" fillId="24" borderId="39" xfId="0" applyFont="1" applyFill="1" applyBorder="1" applyAlignment="1">
      <alignment horizontal="center"/>
    </xf>
    <xf numFmtId="0" fontId="23" fillId="15" borderId="40" xfId="0" applyFont="1" applyFill="1" applyBorder="1" applyAlignment="1">
      <alignment horizontal="center" vertical="center" wrapText="1" shrinkToFit="1"/>
    </xf>
    <xf numFmtId="0" fontId="23" fillId="15" borderId="39" xfId="0" applyFont="1" applyFill="1" applyBorder="1" applyAlignment="1">
      <alignment horizontal="center"/>
    </xf>
    <xf numFmtId="0" fontId="23" fillId="22" borderId="40" xfId="0" applyFont="1" applyFill="1" applyBorder="1" applyAlignment="1">
      <alignment horizontal="center" vertical="center" wrapText="1" shrinkToFit="1"/>
    </xf>
    <xf numFmtId="0" fontId="23" fillId="22" borderId="39" xfId="0" applyFont="1" applyFill="1" applyBorder="1" applyAlignment="1">
      <alignment horizontal="center"/>
    </xf>
    <xf numFmtId="0" fontId="0" fillId="0" borderId="41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23" fillId="24" borderId="39" xfId="0" applyFont="1" applyFill="1" applyBorder="1" applyAlignment="1">
      <alignment horizontal="center" vertical="center" wrapText="1" shrinkToFit="1"/>
    </xf>
    <xf numFmtId="3" fontId="28" fillId="0" borderId="30" xfId="0" applyNumberFormat="1" applyFont="1" applyBorder="1" applyAlignment="1">
      <alignment horizontal="center"/>
    </xf>
    <xf numFmtId="3" fontId="28" fillId="0" borderId="31" xfId="0" applyNumberFormat="1" applyFont="1" applyBorder="1" applyAlignment="1">
      <alignment horizontal="center"/>
    </xf>
    <xf numFmtId="3" fontId="28" fillId="0" borderId="27" xfId="0" applyNumberFormat="1" applyFont="1" applyBorder="1" applyAlignment="1">
      <alignment horizontal="center"/>
    </xf>
    <xf numFmtId="3" fontId="28" fillId="0" borderId="28" xfId="0" applyNumberFormat="1" applyFont="1" applyBorder="1" applyAlignment="1">
      <alignment horizontal="center"/>
    </xf>
    <xf numFmtId="0" fontId="23" fillId="15" borderId="39" xfId="0" applyFont="1" applyFill="1" applyBorder="1" applyAlignment="1">
      <alignment horizontal="center" vertical="center" wrapText="1" shrinkToFit="1"/>
    </xf>
    <xf numFmtId="0" fontId="23" fillId="22" borderId="39" xfId="0" applyFont="1" applyFill="1" applyBorder="1" applyAlignment="1">
      <alignment horizontal="center" vertical="center" wrapText="1" shrinkToFit="1"/>
    </xf>
    <xf numFmtId="0" fontId="22" fillId="23" borderId="80" xfId="0" applyFont="1" applyFill="1" applyBorder="1" applyAlignment="1">
      <alignment horizontal="center"/>
    </xf>
    <xf numFmtId="0" fontId="22" fillId="23" borderId="81" xfId="0" applyFont="1" applyFill="1" applyBorder="1" applyAlignment="1">
      <alignment horizontal="center"/>
    </xf>
    <xf numFmtId="0" fontId="22" fillId="23" borderId="82" xfId="0" applyFont="1" applyFill="1" applyBorder="1" applyAlignment="1">
      <alignment horizontal="center"/>
    </xf>
    <xf numFmtId="0" fontId="0" fillId="22" borderId="0" xfId="0" applyFill="1" applyAlignment="1">
      <alignment horizontal="center"/>
    </xf>
    <xf numFmtId="0" fontId="22" fillId="0" borderId="1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16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22" fillId="0" borderId="0" xfId="0" applyFont="1" applyAlignment="1">
      <alignment horizontal="center"/>
    </xf>
    <xf numFmtId="0" fontId="0" fillId="23" borderId="34" xfId="0" applyFill="1" applyBorder="1" applyAlignment="1"/>
    <xf numFmtId="0" fontId="23" fillId="24" borderId="66" xfId="0" applyFont="1" applyFill="1" applyBorder="1" applyAlignment="1">
      <alignment horizontal="center" vertical="center" wrapText="1" shrinkToFit="1"/>
    </xf>
    <xf numFmtId="0" fontId="23" fillId="24" borderId="36" xfId="0" applyFont="1" applyFill="1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22" fillId="0" borderId="4" xfId="0" applyFont="1" applyBorder="1" applyAlignment="1">
      <alignment horizontal="center"/>
    </xf>
    <xf numFmtId="0" fontId="0" fillId="0" borderId="78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77" xfId="0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23" xfId="0" applyBorder="1" applyAlignment="1"/>
    <xf numFmtId="0" fontId="23" fillId="15" borderId="23" xfId="0" applyFont="1" applyFill="1" applyBorder="1" applyAlignment="1">
      <alignment horizontal="center" vertical="center" wrapText="1" shrinkToFit="1"/>
    </xf>
    <xf numFmtId="0" fontId="23" fillId="15" borderId="36" xfId="0" applyFont="1" applyFill="1" applyBorder="1" applyAlignment="1">
      <alignment horizontal="center"/>
    </xf>
    <xf numFmtId="0" fontId="23" fillId="22" borderId="23" xfId="0" applyFont="1" applyFill="1" applyBorder="1" applyAlignment="1">
      <alignment horizontal="center" vertical="center" wrapText="1" shrinkToFit="1"/>
    </xf>
    <xf numFmtId="0" fontId="23" fillId="22" borderId="36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0" fillId="0" borderId="53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28" fillId="30" borderId="70" xfId="0" applyFont="1" applyFill="1" applyBorder="1" applyAlignment="1">
      <alignment horizontal="center"/>
    </xf>
    <xf numFmtId="0" fontId="28" fillId="30" borderId="71" xfId="0" applyFont="1" applyFill="1" applyBorder="1" applyAlignment="1">
      <alignment horizontal="center"/>
    </xf>
    <xf numFmtId="0" fontId="0" fillId="24" borderId="70" xfId="0" applyFill="1" applyBorder="1" applyAlignment="1">
      <alignment horizontal="center"/>
    </xf>
    <xf numFmtId="0" fontId="0" fillId="32" borderId="70" xfId="0" applyFill="1" applyBorder="1" applyAlignment="1">
      <alignment horizontal="center"/>
    </xf>
    <xf numFmtId="0" fontId="0" fillId="32" borderId="71" xfId="0" applyFill="1" applyBorder="1" applyAlignment="1">
      <alignment horizontal="center"/>
    </xf>
    <xf numFmtId="0" fontId="31" fillId="33" borderId="75" xfId="0" applyFont="1" applyFill="1" applyBorder="1" applyAlignment="1">
      <alignment horizontal="center"/>
    </xf>
    <xf numFmtId="0" fontId="28" fillId="30" borderId="69" xfId="0" applyFont="1" applyFill="1" applyBorder="1" applyAlignment="1">
      <alignment horizontal="center"/>
    </xf>
    <xf numFmtId="0" fontId="0" fillId="24" borderId="69" xfId="0" applyFill="1" applyBorder="1" applyAlignment="1">
      <alignment horizontal="center"/>
    </xf>
    <xf numFmtId="0" fontId="0" fillId="24" borderId="71" xfId="0" applyFill="1" applyBorder="1" applyAlignment="1">
      <alignment horizontal="center"/>
    </xf>
  </cellXfs>
  <cellStyles count="5">
    <cellStyle name="Énfasis6" xfId="2" builtinId="49"/>
    <cellStyle name="Millares" xfId="4" builtinId="3"/>
    <cellStyle name="Moneda" xfId="1" builtinId="4"/>
    <cellStyle name="Normal" xfId="0" builtinId="0"/>
    <cellStyle name="Porcentaje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1</xdr:row>
      <xdr:rowOff>0</xdr:rowOff>
    </xdr:from>
    <xdr:to>
      <xdr:col>10</xdr:col>
      <xdr:colOff>981075</xdr:colOff>
      <xdr:row>2</xdr:row>
      <xdr:rowOff>219075</xdr:rowOff>
    </xdr:to>
    <xdr:sp macro="[0]!copy2" textlink="">
      <xdr:nvSpPr>
        <xdr:cNvPr id="2" name="Rectángulo: biselado 1">
          <a:extLst>
            <a:ext uri="{FF2B5EF4-FFF2-40B4-BE49-F238E27FC236}">
              <a16:creationId xmlns:a16="http://schemas.microsoft.com/office/drawing/2014/main" id="{4437FD66-328B-43EC-94F1-C7DD21ECA62D}"/>
            </a:ext>
          </a:extLst>
        </xdr:cNvPr>
        <xdr:cNvSpPr/>
      </xdr:nvSpPr>
      <xdr:spPr>
        <a:xfrm>
          <a:off x="8458200" y="190500"/>
          <a:ext cx="391477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800"/>
            <a:t>Actualizar</a:t>
          </a:r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1AB2-7855-405D-8EA8-60FADF5C8D75}">
  <dimension ref="A1:AI154"/>
  <sheetViews>
    <sheetView workbookViewId="0">
      <selection activeCell="C12" sqref="C12"/>
    </sheetView>
  </sheetViews>
  <sheetFormatPr baseColWidth="10" defaultColWidth="11.5546875" defaultRowHeight="15" x14ac:dyDescent="0.2"/>
  <cols>
    <col min="2" max="2" width="27.5546875" customWidth="1"/>
    <col min="3" max="3" width="19" customWidth="1"/>
    <col min="4" max="4" width="21.21875" customWidth="1"/>
    <col min="6" max="6" width="17.77734375" customWidth="1"/>
  </cols>
  <sheetData>
    <row r="1" spans="1:35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15.75" x14ac:dyDescent="0.25">
      <c r="A2" s="2"/>
      <c r="B2" s="46" t="s">
        <v>0</v>
      </c>
      <c r="C2" s="46" t="s">
        <v>1</v>
      </c>
      <c r="D2" s="46" t="s">
        <v>2</v>
      </c>
      <c r="E2" s="76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76"/>
      <c r="AA2" s="76"/>
      <c r="AB2" s="76"/>
      <c r="AC2" s="76"/>
      <c r="AD2" s="76"/>
      <c r="AE2" s="76"/>
      <c r="AF2" s="76"/>
      <c r="AG2" s="76"/>
      <c r="AH2" s="76"/>
      <c r="AI2" s="76"/>
    </row>
    <row r="3" spans="1:35" ht="15.75" x14ac:dyDescent="0.25">
      <c r="A3" s="2"/>
      <c r="B3" s="47" t="s">
        <v>3</v>
      </c>
      <c r="C3" s="48">
        <v>125</v>
      </c>
      <c r="D3" s="49">
        <v>75000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76"/>
      <c r="AA3" s="76"/>
      <c r="AB3" s="76"/>
      <c r="AC3" s="76"/>
      <c r="AD3" s="76"/>
      <c r="AE3" s="76"/>
      <c r="AF3" s="76"/>
      <c r="AG3" s="76"/>
      <c r="AH3" s="76"/>
      <c r="AI3" s="76"/>
    </row>
    <row r="4" spans="1:35" ht="15.75" x14ac:dyDescent="0.25">
      <c r="A4" s="2"/>
      <c r="B4" s="50" t="s">
        <v>4</v>
      </c>
      <c r="C4" s="51">
        <v>75</v>
      </c>
      <c r="D4" s="52">
        <v>45000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76"/>
      <c r="AA4" s="76"/>
      <c r="AB4" s="76"/>
      <c r="AC4" s="76"/>
      <c r="AD4" s="76"/>
      <c r="AE4" s="76"/>
      <c r="AF4" s="76"/>
      <c r="AG4" s="76"/>
      <c r="AH4" s="76"/>
      <c r="AI4" s="76"/>
    </row>
    <row r="5" spans="1:35" ht="15.75" x14ac:dyDescent="0.25">
      <c r="A5" s="2"/>
      <c r="B5" s="47" t="s">
        <v>5</v>
      </c>
      <c r="C5" s="48">
        <v>100</v>
      </c>
      <c r="D5" s="49">
        <v>60000</v>
      </c>
      <c r="E5" s="2"/>
      <c r="F5" s="46" t="s">
        <v>6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76"/>
      <c r="AA5" s="76"/>
      <c r="AB5" s="76"/>
      <c r="AC5" s="76"/>
      <c r="AD5" s="76"/>
      <c r="AE5" s="76"/>
      <c r="AF5" s="76"/>
      <c r="AG5" s="76"/>
      <c r="AH5" s="76"/>
      <c r="AI5" s="76"/>
    </row>
    <row r="6" spans="1:35" ht="15.75" x14ac:dyDescent="0.25">
      <c r="A6" s="2"/>
      <c r="B6" s="50" t="s">
        <v>7</v>
      </c>
      <c r="C6" s="51">
        <v>50</v>
      </c>
      <c r="D6" s="52">
        <v>30000</v>
      </c>
      <c r="E6" s="2"/>
      <c r="F6" s="54">
        <v>600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76"/>
      <c r="AA6" s="76"/>
      <c r="AB6" s="76"/>
      <c r="AC6" s="76"/>
      <c r="AD6" s="76"/>
      <c r="AE6" s="76"/>
      <c r="AF6" s="76"/>
      <c r="AG6" s="76"/>
      <c r="AH6" s="76"/>
      <c r="AI6" s="76"/>
    </row>
    <row r="7" spans="1:35" ht="15.75" x14ac:dyDescent="0.25">
      <c r="A7" s="2"/>
      <c r="B7" s="47" t="s">
        <v>8</v>
      </c>
      <c r="C7" s="48">
        <v>300</v>
      </c>
      <c r="D7" s="49">
        <v>180000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76"/>
      <c r="AA7" s="76"/>
      <c r="AB7" s="76"/>
      <c r="AC7" s="76"/>
      <c r="AD7" s="76"/>
      <c r="AE7" s="76"/>
      <c r="AF7" s="76"/>
      <c r="AG7" s="76"/>
      <c r="AH7" s="76"/>
      <c r="AI7" s="76"/>
    </row>
    <row r="8" spans="1:35" ht="15.75" x14ac:dyDescent="0.25">
      <c r="A8" s="2"/>
      <c r="B8" s="52" t="s">
        <v>9</v>
      </c>
      <c r="C8" s="52"/>
      <c r="D8" s="52">
        <f>SUM(D3:D7)</f>
        <v>390000</v>
      </c>
      <c r="E8" s="2"/>
      <c r="F8" s="76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76"/>
      <c r="AA8" s="76"/>
      <c r="AB8" s="76"/>
      <c r="AC8" s="76"/>
      <c r="AD8" s="76"/>
      <c r="AE8" s="76"/>
      <c r="AF8" s="76"/>
      <c r="AG8" s="76"/>
      <c r="AH8" s="76"/>
      <c r="AI8" s="76"/>
    </row>
    <row r="9" spans="1:35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76"/>
      <c r="AA9" s="76"/>
      <c r="AB9" s="76"/>
      <c r="AC9" s="76"/>
      <c r="AD9" s="76"/>
      <c r="AE9" s="76"/>
      <c r="AF9" s="76"/>
      <c r="AG9" s="76"/>
      <c r="AH9" s="76"/>
      <c r="AI9" s="76"/>
    </row>
    <row r="10" spans="1:35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76"/>
      <c r="AA10" s="76"/>
      <c r="AB10" s="76"/>
      <c r="AC10" s="76"/>
      <c r="AD10" s="76"/>
      <c r="AE10" s="76"/>
      <c r="AF10" s="76"/>
      <c r="AG10" s="76"/>
      <c r="AH10" s="76"/>
      <c r="AI10" s="76"/>
    </row>
    <row r="11" spans="1:35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76"/>
      <c r="AA11" s="76"/>
      <c r="AB11" s="76"/>
      <c r="AC11" s="76"/>
      <c r="AD11" s="76"/>
      <c r="AE11" s="76"/>
      <c r="AF11" s="76"/>
      <c r="AG11" s="76"/>
      <c r="AH11" s="76"/>
      <c r="AI11" s="76"/>
    </row>
    <row r="12" spans="1:35" x14ac:dyDescent="0.2">
      <c r="A12" s="2"/>
      <c r="B12" s="2" t="s">
        <v>10</v>
      </c>
      <c r="C12" s="69">
        <f>'Inversion Total'!C66+'Inversion Total'!E67</f>
        <v>19548.263462425806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76"/>
      <c r="AA12" s="76"/>
      <c r="AB12" s="76"/>
      <c r="AC12" s="76"/>
      <c r="AD12" s="76"/>
      <c r="AE12" s="76"/>
      <c r="AF12" s="76"/>
      <c r="AG12" s="76"/>
      <c r="AH12" s="76"/>
      <c r="AI12" s="76"/>
    </row>
    <row r="13" spans="1:35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76"/>
      <c r="AA13" s="76"/>
      <c r="AB13" s="76"/>
      <c r="AC13" s="76"/>
      <c r="AD13" s="76"/>
      <c r="AE13" s="76"/>
      <c r="AF13" s="76"/>
      <c r="AG13" s="76"/>
      <c r="AH13" s="76"/>
      <c r="AI13" s="76"/>
    </row>
    <row r="14" spans="1:35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76"/>
      <c r="AA14" s="76"/>
      <c r="AB14" s="76"/>
      <c r="AC14" s="76"/>
      <c r="AD14" s="76"/>
      <c r="AE14" s="76"/>
      <c r="AF14" s="76"/>
      <c r="AG14" s="76"/>
      <c r="AH14" s="76"/>
      <c r="AI14" s="76"/>
    </row>
    <row r="15" spans="1:35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76"/>
      <c r="AA15" s="76"/>
      <c r="AB15" s="76"/>
      <c r="AC15" s="76"/>
      <c r="AD15" s="76"/>
      <c r="AE15" s="76"/>
      <c r="AF15" s="76"/>
      <c r="AG15" s="76"/>
      <c r="AH15" s="76"/>
      <c r="AI15" s="76"/>
    </row>
    <row r="16" spans="1:35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76"/>
      <c r="AA16" s="76"/>
      <c r="AB16" s="76"/>
      <c r="AC16" s="76"/>
      <c r="AD16" s="76"/>
      <c r="AE16" s="76"/>
      <c r="AF16" s="76"/>
      <c r="AG16" s="76"/>
      <c r="AH16" s="76"/>
      <c r="AI16" s="76"/>
    </row>
    <row r="17" spans="1:25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1:25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</row>
    <row r="19" spans="1:25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</row>
    <row r="20" spans="1:25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</row>
    <row r="21" spans="1:25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</row>
    <row r="22" spans="1:25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</row>
    <row r="23" spans="1:25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</row>
    <row r="24" spans="1:25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</row>
    <row r="25" spans="1:25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</row>
    <row r="26" spans="1:25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</row>
    <row r="27" spans="1:25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</row>
    <row r="28" spans="1:25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</row>
    <row r="29" spans="1:25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1:25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</row>
    <row r="31" spans="1:25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</row>
    <row r="32" spans="1:25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</row>
    <row r="33" spans="1:25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</row>
    <row r="34" spans="1:25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</row>
    <row r="35" spans="1:2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</row>
    <row r="36" spans="1:25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</row>
    <row r="37" spans="1:25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</row>
    <row r="38" spans="1:25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</row>
    <row r="39" spans="1:25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</row>
    <row r="40" spans="1:25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1:25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</row>
    <row r="42" spans="1:25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</row>
    <row r="43" spans="1:25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</row>
    <row r="44" spans="1:25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</row>
    <row r="45" spans="1:25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</row>
    <row r="46" spans="1:25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</row>
    <row r="47" spans="1:25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</row>
    <row r="48" spans="1:25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</row>
    <row r="49" spans="1:25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</row>
    <row r="50" spans="1:25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</row>
    <row r="51" spans="1:25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</row>
    <row r="52" spans="1:25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</row>
    <row r="53" spans="1:25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</row>
    <row r="54" spans="1:25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</row>
    <row r="55" spans="1:25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</row>
    <row r="56" spans="1:25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</row>
    <row r="57" spans="1:25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</row>
    <row r="58" spans="1:25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</row>
    <row r="59" spans="1:25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</row>
    <row r="60" spans="1:25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</row>
    <row r="61" spans="1:25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</row>
    <row r="62" spans="1:25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</row>
    <row r="63" spans="1:25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</row>
    <row r="64" spans="1:25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</row>
    <row r="65" spans="1:25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</row>
    <row r="66" spans="1:25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</row>
    <row r="67" spans="1:25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</row>
    <row r="68" spans="1:25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</row>
    <row r="69" spans="1:25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</row>
    <row r="70" spans="1:25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</row>
    <row r="71" spans="1:25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</row>
    <row r="72" spans="1:25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</row>
    <row r="73" spans="1:25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</row>
    <row r="74" spans="1:25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</row>
    <row r="75" spans="1:25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</row>
    <row r="76" spans="1:25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</row>
    <row r="77" spans="1:25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</row>
    <row r="78" spans="1:25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</row>
    <row r="79" spans="1:25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</row>
    <row r="80" spans="1:25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</row>
    <row r="81" spans="1:25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</row>
    <row r="82" spans="1:25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</row>
    <row r="83" spans="1:25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</row>
    <row r="84" spans="1:25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</row>
    <row r="85" spans="1:25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</row>
    <row r="86" spans="1:25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</row>
    <row r="87" spans="1:25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</row>
    <row r="88" spans="1:25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</row>
    <row r="89" spans="1:25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</row>
    <row r="90" spans="1:25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</row>
    <row r="91" spans="1:25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</row>
    <row r="92" spans="1:25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</row>
    <row r="93" spans="1:25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</row>
    <row r="94" spans="1:25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</row>
    <row r="95" spans="1:25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</row>
    <row r="96" spans="1:25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</row>
    <row r="97" spans="1:25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</row>
    <row r="98" spans="1:25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</row>
    <row r="99" spans="1:25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</row>
    <row r="100" spans="1:25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</row>
    <row r="101" spans="1:25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</row>
    <row r="102" spans="1:25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</row>
    <row r="103" spans="1:25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</row>
    <row r="104" spans="1:25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r="105" spans="1:25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25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</row>
    <row r="111" spans="1:25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</row>
    <row r="112" spans="1:25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r="113" spans="1:25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r="115" spans="1:25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</row>
    <row r="116" spans="1:25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</row>
    <row r="117" spans="1:25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</row>
    <row r="118" spans="1:25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</row>
    <row r="119" spans="1:25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</row>
    <row r="120" spans="1:25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</row>
    <row r="121" spans="1:25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</row>
    <row r="122" spans="1:25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</row>
    <row r="123" spans="1:25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</row>
    <row r="124" spans="1:25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</row>
    <row r="125" spans="1:25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</row>
    <row r="126" spans="1:25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</row>
    <row r="127" spans="1:25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</row>
    <row r="128" spans="1:25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</row>
    <row r="129" spans="1:25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</row>
    <row r="130" spans="1:25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</row>
    <row r="131" spans="1:25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</row>
    <row r="132" spans="1:25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</row>
    <row r="133" spans="1:25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</row>
    <row r="134" spans="1:25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</row>
    <row r="135" spans="1:25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</row>
    <row r="136" spans="1:25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</row>
    <row r="137" spans="1:25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</row>
    <row r="138" spans="1:25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</row>
    <row r="139" spans="1:25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</row>
    <row r="140" spans="1:25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</row>
    <row r="141" spans="1:25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</row>
    <row r="142" spans="1:25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</row>
    <row r="143" spans="1:25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</row>
    <row r="144" spans="1:25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</row>
    <row r="145" spans="1:25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</row>
    <row r="146" spans="1:25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</row>
    <row r="147" spans="1:25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</row>
    <row r="148" spans="1:25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</row>
    <row r="149" spans="1:25" x14ac:dyDescent="0.2">
      <c r="A149" s="76"/>
      <c r="B149" s="2"/>
      <c r="C149" s="2"/>
      <c r="D149" s="2"/>
      <c r="E149" s="2"/>
      <c r="F149" s="2"/>
      <c r="G149" s="2"/>
      <c r="H149" s="2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x14ac:dyDescent="0.2">
      <c r="A150" s="76"/>
      <c r="B150" s="2"/>
      <c r="C150" s="2"/>
      <c r="D150" s="2"/>
      <c r="E150" s="2"/>
      <c r="F150" s="2"/>
      <c r="G150" s="2"/>
      <c r="H150" s="2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x14ac:dyDescent="0.2">
      <c r="A151" s="76"/>
      <c r="B151" s="2"/>
      <c r="C151" s="2"/>
      <c r="D151" s="2"/>
      <c r="E151" s="2"/>
      <c r="F151" s="2"/>
      <c r="G151" s="2"/>
      <c r="H151" s="2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x14ac:dyDescent="0.2">
      <c r="A152" s="76"/>
      <c r="B152" s="2"/>
      <c r="C152" s="2"/>
      <c r="D152" s="2"/>
      <c r="E152" s="2"/>
      <c r="F152" s="2"/>
      <c r="G152" s="2"/>
      <c r="H152" s="2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x14ac:dyDescent="0.2">
      <c r="A153" s="76"/>
      <c r="B153" s="2"/>
      <c r="C153" s="2"/>
      <c r="D153" s="2"/>
      <c r="E153" s="2"/>
      <c r="F153" s="2"/>
      <c r="G153" s="2"/>
      <c r="H153" s="2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x14ac:dyDescent="0.2">
      <c r="A154" s="76"/>
      <c r="B154" s="76"/>
      <c r="C154" s="76"/>
      <c r="D154" s="76"/>
      <c r="E154" s="2"/>
      <c r="F154" s="2"/>
      <c r="G154" s="2"/>
      <c r="H154" s="2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C5AB4-ACC9-4046-93BC-F7DFC13DC680}">
  <dimension ref="A1:AH200"/>
  <sheetViews>
    <sheetView topLeftCell="A4" workbookViewId="0">
      <selection activeCell="G15" sqref="G15"/>
    </sheetView>
  </sheetViews>
  <sheetFormatPr baseColWidth="10" defaultColWidth="11.5546875" defaultRowHeight="15" x14ac:dyDescent="0.2"/>
  <cols>
    <col min="3" max="3" width="12.33203125" customWidth="1"/>
    <col min="4" max="4" width="14.109375" customWidth="1"/>
    <col min="5" max="5" width="15.109375" customWidth="1"/>
    <col min="6" max="6" width="15.5546875" customWidth="1"/>
    <col min="7" max="7" width="14.6640625" customWidth="1"/>
    <col min="8" max="8" width="12.88671875" customWidth="1"/>
  </cols>
  <sheetData>
    <row r="1" spans="1:34" ht="20.25" customHeight="1" x14ac:dyDescent="0.2">
      <c r="A1" s="2"/>
      <c r="B1" s="194" t="s">
        <v>11</v>
      </c>
      <c r="C1" s="194"/>
      <c r="D1" s="194"/>
      <c r="E1" s="194"/>
      <c r="F1" s="194"/>
      <c r="G1" s="194"/>
      <c r="H1" s="194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47.25" x14ac:dyDescent="0.2">
      <c r="A2" s="2"/>
      <c r="B2" s="55" t="s">
        <v>12</v>
      </c>
      <c r="C2" s="55" t="s">
        <v>13</v>
      </c>
      <c r="D2" s="55" t="s">
        <v>14</v>
      </c>
      <c r="E2" s="55" t="s">
        <v>15</v>
      </c>
      <c r="F2" s="55" t="s">
        <v>16</v>
      </c>
      <c r="G2" s="55" t="s">
        <v>17</v>
      </c>
      <c r="H2" s="55" t="s">
        <v>18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x14ac:dyDescent="0.2">
      <c r="A3" s="2"/>
      <c r="B3" s="195" t="s">
        <v>19</v>
      </c>
      <c r="C3" s="144" t="s">
        <v>20</v>
      </c>
      <c r="D3" s="53">
        <v>1</v>
      </c>
      <c r="E3" s="56">
        <v>10000</v>
      </c>
      <c r="F3" s="57">
        <v>3500</v>
      </c>
      <c r="G3" s="57">
        <v>13500</v>
      </c>
      <c r="H3" s="57">
        <v>162000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2">
      <c r="A4" s="2"/>
      <c r="B4" s="195"/>
      <c r="C4" s="144" t="s">
        <v>21</v>
      </c>
      <c r="D4" s="53">
        <v>1</v>
      </c>
      <c r="E4" s="56">
        <v>6000</v>
      </c>
      <c r="F4" s="57">
        <v>2100</v>
      </c>
      <c r="G4" s="57">
        <f>(F4+E4)*D4</f>
        <v>8100</v>
      </c>
      <c r="H4" s="57">
        <v>97200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2">
      <c r="A5" s="2"/>
      <c r="B5" s="195"/>
      <c r="C5" s="144" t="s">
        <v>22</v>
      </c>
      <c r="D5" s="53">
        <v>1</v>
      </c>
      <c r="E5" s="56">
        <v>6000</v>
      </c>
      <c r="F5" s="57">
        <v>2100</v>
      </c>
      <c r="G5" s="57">
        <f>(F5+E5)*D5</f>
        <v>8100</v>
      </c>
      <c r="H5" s="57">
        <v>97200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76"/>
      <c r="AH5" s="76"/>
    </row>
    <row r="6" spans="1:34" x14ac:dyDescent="0.2">
      <c r="A6" s="2"/>
      <c r="B6" s="193" t="s">
        <v>23</v>
      </c>
      <c r="C6" s="58" t="s">
        <v>24</v>
      </c>
      <c r="D6" s="2">
        <v>3</v>
      </c>
      <c r="E6" s="59">
        <v>6000</v>
      </c>
      <c r="F6" s="60">
        <v>2100</v>
      </c>
      <c r="G6" s="60">
        <f>(F6+E6)*D6</f>
        <v>24300</v>
      </c>
      <c r="H6" s="60">
        <v>291600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76"/>
      <c r="AH6" s="76"/>
    </row>
    <row r="7" spans="1:34" x14ac:dyDescent="0.2">
      <c r="A7" s="2"/>
      <c r="B7" s="193"/>
      <c r="C7" s="58" t="s">
        <v>25</v>
      </c>
      <c r="D7" s="2">
        <v>1</v>
      </c>
      <c r="E7" s="59">
        <v>1000</v>
      </c>
      <c r="F7" s="60">
        <v>350</v>
      </c>
      <c r="G7" s="60">
        <v>1350</v>
      </c>
      <c r="H7" s="60">
        <v>16200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76"/>
      <c r="AH7" s="76"/>
    </row>
    <row r="8" spans="1:34" x14ac:dyDescent="0.2">
      <c r="A8" s="2"/>
      <c r="B8" s="144" t="s">
        <v>26</v>
      </c>
      <c r="C8" s="144" t="s">
        <v>27</v>
      </c>
      <c r="D8" s="53">
        <v>1</v>
      </c>
      <c r="E8" s="56">
        <v>2000</v>
      </c>
      <c r="F8" s="57">
        <v>700</v>
      </c>
      <c r="G8" s="57">
        <f>(F8+E8)*D8</f>
        <v>2700</v>
      </c>
      <c r="H8" s="57">
        <v>32400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76"/>
      <c r="AH8" s="76"/>
    </row>
    <row r="9" spans="1:34" ht="30" x14ac:dyDescent="0.2">
      <c r="A9" s="2"/>
      <c r="B9" s="142" t="s">
        <v>28</v>
      </c>
      <c r="C9" s="58" t="s">
        <v>27</v>
      </c>
      <c r="D9" s="2">
        <v>1</v>
      </c>
      <c r="E9" s="59">
        <v>2000</v>
      </c>
      <c r="F9" s="60">
        <v>700</v>
      </c>
      <c r="G9" s="60">
        <f>(F9+E9)*D9</f>
        <v>2700</v>
      </c>
      <c r="H9" s="60">
        <v>32400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76"/>
      <c r="AH9" s="76"/>
    </row>
    <row r="10" spans="1:34" x14ac:dyDescent="0.2">
      <c r="A10" s="2"/>
      <c r="B10" s="195" t="s">
        <v>29</v>
      </c>
      <c r="C10" s="144" t="s">
        <v>30</v>
      </c>
      <c r="D10" s="53">
        <v>1</v>
      </c>
      <c r="E10" s="56">
        <v>5000</v>
      </c>
      <c r="F10" s="57">
        <v>1750</v>
      </c>
      <c r="G10" s="57">
        <f>(F10+E10)*D10</f>
        <v>6750</v>
      </c>
      <c r="H10" s="57">
        <v>81000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76"/>
      <c r="AH10" s="76"/>
    </row>
    <row r="11" spans="1:34" x14ac:dyDescent="0.2">
      <c r="A11" s="2"/>
      <c r="B11" s="195"/>
      <c r="C11" s="144" t="s">
        <v>31</v>
      </c>
      <c r="D11" s="53">
        <v>1</v>
      </c>
      <c r="E11" s="56">
        <v>1000</v>
      </c>
      <c r="F11" s="57">
        <v>350</v>
      </c>
      <c r="G11" s="57">
        <v>1350</v>
      </c>
      <c r="H11" s="57">
        <v>16200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76"/>
      <c r="AH11" s="76"/>
    </row>
    <row r="12" spans="1:34" ht="45" x14ac:dyDescent="0.2">
      <c r="A12" s="2"/>
      <c r="B12" s="193" t="s">
        <v>32</v>
      </c>
      <c r="C12" s="58" t="s">
        <v>33</v>
      </c>
      <c r="D12" s="2">
        <v>1</v>
      </c>
      <c r="E12" s="59">
        <v>1000</v>
      </c>
      <c r="F12" s="60">
        <v>350</v>
      </c>
      <c r="G12" s="60">
        <v>1350</v>
      </c>
      <c r="H12" s="60">
        <v>16200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76"/>
      <c r="AH12" s="76"/>
    </row>
    <row r="13" spans="1:34" ht="30" x14ac:dyDescent="0.2">
      <c r="A13" s="2"/>
      <c r="B13" s="193"/>
      <c r="C13" s="58" t="s">
        <v>34</v>
      </c>
      <c r="D13" s="2">
        <v>1</v>
      </c>
      <c r="E13" s="59">
        <v>3000</v>
      </c>
      <c r="F13" s="60">
        <v>1050</v>
      </c>
      <c r="G13" s="60">
        <f t="shared" ref="G13:G18" si="0">(F13+E13)*D13</f>
        <v>4050</v>
      </c>
      <c r="H13" s="60">
        <v>48600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76"/>
      <c r="AH13" s="76"/>
    </row>
    <row r="14" spans="1:34" x14ac:dyDescent="0.2">
      <c r="A14" s="2"/>
      <c r="B14" s="144" t="s">
        <v>35</v>
      </c>
      <c r="C14" s="144" t="s">
        <v>36</v>
      </c>
      <c r="D14" s="53">
        <v>1</v>
      </c>
      <c r="E14" s="56">
        <v>1000</v>
      </c>
      <c r="F14" s="57">
        <v>350</v>
      </c>
      <c r="G14" s="57">
        <f t="shared" si="0"/>
        <v>1350</v>
      </c>
      <c r="H14" s="57">
        <v>16200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76"/>
      <c r="AH14" s="76"/>
    </row>
    <row r="15" spans="1:34" ht="30" x14ac:dyDescent="0.2">
      <c r="A15" s="2"/>
      <c r="B15" s="142" t="s">
        <v>37</v>
      </c>
      <c r="C15" s="58" t="s">
        <v>38</v>
      </c>
      <c r="D15" s="2">
        <v>1</v>
      </c>
      <c r="E15" s="59">
        <v>1000</v>
      </c>
      <c r="F15" s="60">
        <v>350</v>
      </c>
      <c r="G15" s="60">
        <f t="shared" si="0"/>
        <v>1350</v>
      </c>
      <c r="H15" s="60">
        <v>16200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76"/>
      <c r="AH15" s="76"/>
    </row>
    <row r="16" spans="1:34" ht="30" x14ac:dyDescent="0.2">
      <c r="A16" s="2"/>
      <c r="B16" s="144" t="s">
        <v>39</v>
      </c>
      <c r="C16" s="144" t="s">
        <v>40</v>
      </c>
      <c r="D16" s="53">
        <v>1</v>
      </c>
      <c r="E16" s="56">
        <v>6000</v>
      </c>
      <c r="F16" s="57">
        <v>2100</v>
      </c>
      <c r="G16" s="57">
        <f t="shared" si="0"/>
        <v>8100</v>
      </c>
      <c r="H16" s="57">
        <v>97200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76"/>
      <c r="AH16" s="76"/>
    </row>
    <row r="17" spans="1:32" x14ac:dyDescent="0.2">
      <c r="A17" s="2"/>
      <c r="B17" s="193" t="s">
        <v>41</v>
      </c>
      <c r="C17" s="58" t="s">
        <v>42</v>
      </c>
      <c r="D17" s="2">
        <v>1</v>
      </c>
      <c r="E17" s="59">
        <v>6000</v>
      </c>
      <c r="F17" s="60">
        <v>2100</v>
      </c>
      <c r="G17" s="60">
        <f t="shared" si="0"/>
        <v>8100</v>
      </c>
      <c r="H17" s="60">
        <v>97200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2"/>
      <c r="B18" s="193"/>
      <c r="C18" s="58" t="s">
        <v>43</v>
      </c>
      <c r="D18" s="2">
        <v>1</v>
      </c>
      <c r="E18" s="59">
        <v>6000</v>
      </c>
      <c r="F18" s="60">
        <v>2100</v>
      </c>
      <c r="G18" s="60">
        <f t="shared" si="0"/>
        <v>8100</v>
      </c>
      <c r="H18" s="60">
        <v>97200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</row>
    <row r="105" spans="1:32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</row>
    <row r="111" spans="1:32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  <row r="112" spans="1:32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</row>
    <row r="114" spans="1:32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</row>
    <row r="115" spans="1:32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</row>
    <row r="116" spans="1:32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</row>
    <row r="117" spans="1:32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</row>
    <row r="118" spans="1:32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</row>
    <row r="119" spans="1:32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</row>
    <row r="120" spans="1:32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</row>
    <row r="121" spans="1:32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</row>
    <row r="122" spans="1:32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</row>
    <row r="123" spans="1:32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</row>
    <row r="124" spans="1:32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</row>
    <row r="126" spans="1:32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</row>
    <row r="127" spans="1:32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</row>
    <row r="128" spans="1:32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</row>
    <row r="129" spans="1:32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</row>
    <row r="130" spans="1:32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</row>
    <row r="131" spans="1:32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</row>
    <row r="132" spans="1:32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</row>
    <row r="133" spans="1:32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</row>
    <row r="134" spans="1:32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</row>
    <row r="135" spans="1:32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</row>
    <row r="136" spans="1:32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</row>
    <row r="138" spans="1:32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</row>
    <row r="139" spans="1:32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</row>
    <row r="140" spans="1:32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</row>
    <row r="141" spans="1:32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</row>
    <row r="142" spans="1:32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</row>
    <row r="143" spans="1:32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</row>
    <row r="144" spans="1:32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</row>
    <row r="145" spans="1:32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</row>
    <row r="146" spans="1:32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</row>
    <row r="148" spans="1:32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</row>
    <row r="149" spans="1:32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</row>
    <row r="150" spans="1:32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</row>
    <row r="151" spans="1:32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</row>
    <row r="152" spans="1:32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</row>
    <row r="153" spans="1:32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</row>
    <row r="154" spans="1:32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</row>
    <row r="155" spans="1:32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</row>
    <row r="156" spans="1:32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</row>
    <row r="158" spans="1:32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</row>
    <row r="159" spans="1:32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</row>
    <row r="160" spans="1:32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</row>
    <row r="161" spans="1:32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</row>
    <row r="162" spans="1:32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</row>
    <row r="163" spans="1:32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</row>
    <row r="164" spans="1:32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</row>
    <row r="165" spans="1:32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</row>
    <row r="166" spans="1:32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</row>
    <row r="168" spans="1:32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2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2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</sheetData>
  <mergeCells count="6">
    <mergeCell ref="B17:B18"/>
    <mergeCell ref="B1:H1"/>
    <mergeCell ref="B3:B5"/>
    <mergeCell ref="B6:B7"/>
    <mergeCell ref="B10:B11"/>
    <mergeCell ref="B12:B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8D750-C823-4700-AB45-5ECEFBCC8615}">
  <dimension ref="A1:V111"/>
  <sheetViews>
    <sheetView topLeftCell="A51" workbookViewId="0">
      <selection activeCell="D80" sqref="D80"/>
    </sheetView>
  </sheetViews>
  <sheetFormatPr baseColWidth="10" defaultColWidth="11.5546875" defaultRowHeight="15" x14ac:dyDescent="0.2"/>
  <cols>
    <col min="2" max="2" width="45.77734375" customWidth="1"/>
    <col min="3" max="4" width="9.33203125" customWidth="1"/>
    <col min="5" max="5" width="10.6640625" customWidth="1"/>
    <col min="6" max="6" width="15" customWidth="1"/>
    <col min="7" max="7" width="15.109375" customWidth="1"/>
    <col min="8" max="8" width="14.5546875" customWidth="1"/>
  </cols>
  <sheetData>
    <row r="1" spans="1:22" x14ac:dyDescent="0.2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5.75" x14ac:dyDescent="0.2">
      <c r="A2" s="2"/>
      <c r="B2" s="201" t="s">
        <v>44</v>
      </c>
      <c r="C2" s="201"/>
      <c r="D2" s="201"/>
      <c r="E2" s="201"/>
      <c r="F2" s="201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5" customHeight="1" x14ac:dyDescent="0.2">
      <c r="A3" s="2"/>
      <c r="B3" s="3"/>
      <c r="C3" s="3"/>
      <c r="D3" s="3"/>
      <c r="E3" s="4"/>
      <c r="F3" s="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15" customHeight="1" x14ac:dyDescent="0.2">
      <c r="A4" s="2"/>
      <c r="B4" s="3"/>
      <c r="C4" s="3"/>
      <c r="D4" s="3"/>
      <c r="E4" s="4"/>
      <c r="F4" s="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2">
      <c r="A5" s="2"/>
      <c r="B5" s="5" t="s">
        <v>45</v>
      </c>
      <c r="C5" s="6"/>
      <c r="D5" s="6"/>
      <c r="E5" s="7"/>
      <c r="F5" s="6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 ht="18.75" x14ac:dyDescent="0.2">
      <c r="A6" s="2"/>
      <c r="B6" s="6"/>
      <c r="C6" s="6"/>
      <c r="D6" s="202"/>
      <c r="E6" s="203"/>
      <c r="F6" s="8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1:22" ht="15" customHeight="1" x14ac:dyDescent="0.2">
      <c r="A7" s="2"/>
      <c r="B7" s="199" t="s">
        <v>46</v>
      </c>
      <c r="C7" s="200"/>
      <c r="D7" s="200"/>
      <c r="E7" s="200"/>
      <c r="F7" s="145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 x14ac:dyDescent="0.2">
      <c r="A8" s="2"/>
      <c r="B8" s="199"/>
      <c r="C8" s="200"/>
      <c r="D8" s="200"/>
      <c r="E8" s="200"/>
      <c r="F8" s="9" t="s">
        <v>47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</row>
    <row r="9" spans="1:22" x14ac:dyDescent="0.2">
      <c r="A9" s="2"/>
      <c r="B9" s="196" t="s">
        <v>48</v>
      </c>
      <c r="C9" s="197"/>
      <c r="D9" s="197"/>
      <c r="E9" s="198"/>
      <c r="F9" s="10">
        <f>40*199+2000</f>
        <v>9960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</row>
    <row r="10" spans="1:22" x14ac:dyDescent="0.2">
      <c r="A10" s="2"/>
      <c r="B10" s="196" t="s">
        <v>49</v>
      </c>
      <c r="C10" s="197"/>
      <c r="D10" s="197"/>
      <c r="E10" s="198"/>
      <c r="F10" s="10">
        <v>1200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x14ac:dyDescent="0.2">
      <c r="A11" s="2"/>
      <c r="B11" s="196" t="s">
        <v>50</v>
      </c>
      <c r="C11" s="197"/>
      <c r="D11" s="197"/>
      <c r="E11" s="198"/>
      <c r="F11" s="10">
        <f>5*406+1500</f>
        <v>3530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x14ac:dyDescent="0.2">
      <c r="A12" s="2"/>
      <c r="B12" s="196" t="s">
        <v>51</v>
      </c>
      <c r="C12" s="197"/>
      <c r="D12" s="197"/>
      <c r="E12" s="198"/>
      <c r="F12" s="10">
        <f>719*11</f>
        <v>7909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x14ac:dyDescent="0.2">
      <c r="A13" s="2"/>
      <c r="B13" s="196" t="s">
        <v>52</v>
      </c>
      <c r="C13" s="197"/>
      <c r="D13" s="197"/>
      <c r="E13" s="198"/>
      <c r="F13" s="10">
        <v>5000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15" customHeight="1" x14ac:dyDescent="0.2">
      <c r="A14" s="2"/>
      <c r="B14" s="196" t="s">
        <v>53</v>
      </c>
      <c r="C14" s="197"/>
      <c r="D14" s="197"/>
      <c r="E14" s="198"/>
      <c r="F14" s="10">
        <v>6000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x14ac:dyDescent="0.2">
      <c r="A15" s="2"/>
      <c r="B15" s="196" t="s">
        <v>54</v>
      </c>
      <c r="C15" s="197"/>
      <c r="D15" s="197"/>
      <c r="E15" s="198"/>
      <c r="F15" s="10">
        <v>12000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x14ac:dyDescent="0.2">
      <c r="A16" s="2"/>
      <c r="B16" s="196" t="s">
        <v>55</v>
      </c>
      <c r="C16" s="197"/>
      <c r="D16" s="197"/>
      <c r="E16" s="198"/>
      <c r="F16" s="10">
        <v>300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x14ac:dyDescent="0.2">
      <c r="A17" s="2"/>
      <c r="B17" s="11" t="s">
        <v>9</v>
      </c>
      <c r="C17" s="12"/>
      <c r="D17" s="12"/>
      <c r="E17" s="13"/>
      <c r="F17" s="14">
        <f>SUM(F9:F16)</f>
        <v>45899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x14ac:dyDescent="0.2">
      <c r="A18" s="2"/>
      <c r="B18" s="2"/>
      <c r="C18" s="15" t="s">
        <v>56</v>
      </c>
      <c r="D18" s="16">
        <v>40</v>
      </c>
      <c r="E18" s="17" t="s">
        <v>57</v>
      </c>
      <c r="F18" s="18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x14ac:dyDescent="0.2">
      <c r="A19" s="2"/>
      <c r="B19" s="6"/>
      <c r="C19" s="6"/>
      <c r="D19" s="6"/>
      <c r="E19" s="7"/>
      <c r="F19" s="6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x14ac:dyDescent="0.2">
      <c r="A20" s="2"/>
      <c r="B20" s="5" t="s">
        <v>58</v>
      </c>
      <c r="C20" s="6"/>
      <c r="D20" s="6"/>
      <c r="E20" s="7"/>
      <c r="F20" s="6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x14ac:dyDescent="0.2">
      <c r="A21" s="2"/>
      <c r="B21" s="6"/>
      <c r="C21" s="6"/>
      <c r="D21" s="6"/>
      <c r="E21" s="7"/>
      <c r="F21" s="6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15" customHeight="1" x14ac:dyDescent="0.2">
      <c r="A22" s="2"/>
      <c r="B22" s="199" t="s">
        <v>59</v>
      </c>
      <c r="C22" s="204"/>
      <c r="D22" s="204"/>
      <c r="E22" s="205"/>
      <c r="F22" s="6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x14ac:dyDescent="0.2">
      <c r="A23" s="2"/>
      <c r="B23" s="19" t="s">
        <v>60</v>
      </c>
      <c r="C23" s="19" t="s">
        <v>61</v>
      </c>
      <c r="D23" s="20" t="s">
        <v>62</v>
      </c>
      <c r="E23" s="21" t="s">
        <v>47</v>
      </c>
      <c r="F23" s="6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18" x14ac:dyDescent="0.25">
      <c r="A24" s="2"/>
      <c r="B24" s="22" t="s">
        <v>63</v>
      </c>
      <c r="C24" s="23"/>
      <c r="D24" s="24"/>
      <c r="E24" s="25"/>
      <c r="F24" s="6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x14ac:dyDescent="0.2">
      <c r="A25" s="2"/>
      <c r="B25" s="26" t="s">
        <v>64</v>
      </c>
      <c r="C25" s="27">
        <v>0</v>
      </c>
      <c r="D25" s="28">
        <v>0</v>
      </c>
      <c r="E25" s="29">
        <f t="shared" ref="E25:E45" si="0">+D25*C25</f>
        <v>0</v>
      </c>
      <c r="F25" s="6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x14ac:dyDescent="0.2">
      <c r="A26" s="2"/>
      <c r="B26" s="26" t="s">
        <v>65</v>
      </c>
      <c r="C26" s="27">
        <v>0</v>
      </c>
      <c r="D26" s="28">
        <v>0</v>
      </c>
      <c r="E26" s="29">
        <f t="shared" si="0"/>
        <v>0</v>
      </c>
      <c r="F26" s="6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">
      <c r="A27" s="2"/>
      <c r="B27" s="26" t="s">
        <v>66</v>
      </c>
      <c r="C27" s="27"/>
      <c r="D27" s="28"/>
      <c r="E27" s="29">
        <f>SUM(E28:E31)</f>
        <v>44000</v>
      </c>
      <c r="F27" s="6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">
      <c r="A28" s="2"/>
      <c r="B28" s="30" t="s">
        <v>67</v>
      </c>
      <c r="C28" s="27">
        <v>13</v>
      </c>
      <c r="D28" s="28">
        <v>800</v>
      </c>
      <c r="E28" s="31">
        <f t="shared" si="0"/>
        <v>10400</v>
      </c>
      <c r="F28" s="6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">
      <c r="A29" s="2"/>
      <c r="B29" s="30" t="s">
        <v>68</v>
      </c>
      <c r="C29" s="27">
        <v>1</v>
      </c>
      <c r="D29" s="28">
        <v>2100</v>
      </c>
      <c r="E29" s="31">
        <f>+D29*C29</f>
        <v>2100</v>
      </c>
      <c r="F29" s="6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">
      <c r="A30" s="2"/>
      <c r="B30" s="30" t="s">
        <v>69</v>
      </c>
      <c r="C30" s="27">
        <v>25</v>
      </c>
      <c r="D30" s="28">
        <v>1200</v>
      </c>
      <c r="E30" s="31">
        <f t="shared" si="0"/>
        <v>30000</v>
      </c>
      <c r="F30" s="6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">
      <c r="A31" s="2"/>
      <c r="B31" s="30" t="s">
        <v>70</v>
      </c>
      <c r="C31" s="27">
        <v>1</v>
      </c>
      <c r="D31" s="28">
        <v>1500</v>
      </c>
      <c r="E31" s="31">
        <f t="shared" si="0"/>
        <v>1500</v>
      </c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">
      <c r="A32" s="2"/>
      <c r="B32" s="26" t="s">
        <v>71</v>
      </c>
      <c r="C32" s="27"/>
      <c r="D32" s="28"/>
      <c r="E32" s="29">
        <f>SUM(E33:E37)</f>
        <v>230000</v>
      </c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">
      <c r="A33" s="2"/>
      <c r="B33" s="30" t="s">
        <v>72</v>
      </c>
      <c r="C33" s="27">
        <v>13</v>
      </c>
      <c r="D33" s="28">
        <v>15000</v>
      </c>
      <c r="E33" s="31">
        <f t="shared" si="0"/>
        <v>195000</v>
      </c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">
      <c r="A34" s="2"/>
      <c r="B34" s="30" t="s">
        <v>73</v>
      </c>
      <c r="C34" s="27">
        <v>2</v>
      </c>
      <c r="D34" s="28">
        <v>5000</v>
      </c>
      <c r="E34" s="31">
        <f t="shared" si="0"/>
        <v>10000</v>
      </c>
      <c r="F34" s="6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">
      <c r="A35" s="2"/>
      <c r="B35" s="30" t="s">
        <v>74</v>
      </c>
      <c r="C35" s="27">
        <v>1</v>
      </c>
      <c r="D35" s="28">
        <v>25000</v>
      </c>
      <c r="E35" s="31">
        <f t="shared" si="0"/>
        <v>25000</v>
      </c>
      <c r="F35" s="6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">
      <c r="A36" s="2"/>
      <c r="B36" s="30" t="s">
        <v>75</v>
      </c>
      <c r="C36" s="27">
        <v>0</v>
      </c>
      <c r="D36" s="28">
        <v>0</v>
      </c>
      <c r="E36" s="31">
        <f t="shared" si="0"/>
        <v>0</v>
      </c>
      <c r="F36" s="6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">
      <c r="A37" s="2"/>
      <c r="B37" s="30" t="s">
        <v>76</v>
      </c>
      <c r="C37" s="27">
        <v>0</v>
      </c>
      <c r="D37" s="28">
        <v>0</v>
      </c>
      <c r="E37" s="31">
        <f t="shared" si="0"/>
        <v>0</v>
      </c>
      <c r="F37" s="6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">
      <c r="A38" s="2"/>
      <c r="B38" s="26" t="s">
        <v>77</v>
      </c>
      <c r="C38" s="27"/>
      <c r="D38" s="28"/>
      <c r="E38" s="29">
        <f>SUM(E39:E41)</f>
        <v>0</v>
      </c>
      <c r="F38" s="6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">
      <c r="A39" s="2"/>
      <c r="B39" s="30" t="s">
        <v>78</v>
      </c>
      <c r="C39" s="27">
        <v>0</v>
      </c>
      <c r="D39" s="28">
        <v>0</v>
      </c>
      <c r="E39" s="31">
        <f t="shared" si="0"/>
        <v>0</v>
      </c>
      <c r="F39" s="6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">
      <c r="A40" s="2"/>
      <c r="B40" s="30" t="s">
        <v>79</v>
      </c>
      <c r="C40" s="27">
        <v>0</v>
      </c>
      <c r="D40" s="28">
        <v>0</v>
      </c>
      <c r="E40" s="31">
        <f t="shared" si="0"/>
        <v>0</v>
      </c>
      <c r="F40" s="6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">
      <c r="A41" s="2"/>
      <c r="B41" s="30" t="s">
        <v>80</v>
      </c>
      <c r="C41" s="27">
        <v>0</v>
      </c>
      <c r="D41" s="28">
        <v>0</v>
      </c>
      <c r="E41" s="31">
        <f t="shared" si="0"/>
        <v>0</v>
      </c>
      <c r="F41" s="6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">
      <c r="A42" s="2"/>
      <c r="B42" s="26" t="s">
        <v>81</v>
      </c>
      <c r="C42" s="27"/>
      <c r="D42" s="28"/>
      <c r="E42" s="29">
        <f>SUM(E43:E45)</f>
        <v>0</v>
      </c>
      <c r="F42" s="6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">
      <c r="A43" s="2"/>
      <c r="B43" s="30" t="s">
        <v>82</v>
      </c>
      <c r="C43" s="27">
        <v>0</v>
      </c>
      <c r="D43" s="28">
        <v>0</v>
      </c>
      <c r="E43" s="31">
        <f t="shared" si="0"/>
        <v>0</v>
      </c>
      <c r="F43" s="6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">
      <c r="A44" s="2"/>
      <c r="B44" s="30" t="s">
        <v>83</v>
      </c>
      <c r="C44" s="27">
        <v>0</v>
      </c>
      <c r="D44" s="28">
        <v>0</v>
      </c>
      <c r="E44" s="31">
        <f t="shared" si="0"/>
        <v>0</v>
      </c>
      <c r="F44" s="6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">
      <c r="A45" s="2"/>
      <c r="B45" s="30" t="s">
        <v>84</v>
      </c>
      <c r="C45" s="27">
        <v>0</v>
      </c>
      <c r="D45" s="28">
        <v>0</v>
      </c>
      <c r="E45" s="31">
        <f t="shared" si="0"/>
        <v>0</v>
      </c>
      <c r="F45" s="6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">
      <c r="A46" s="2"/>
      <c r="B46" s="32"/>
      <c r="C46" s="33"/>
      <c r="D46" s="33"/>
      <c r="E46" s="34">
        <f>+E25+E26+E27+E32+E38+E42</f>
        <v>274000</v>
      </c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">
      <c r="A47" s="2"/>
      <c r="B47" s="2"/>
      <c r="C47" s="2"/>
      <c r="D47" s="2"/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">
      <c r="A48" s="2"/>
      <c r="B48" s="5" t="s">
        <v>85</v>
      </c>
      <c r="C48" s="6"/>
      <c r="D48" s="6"/>
      <c r="E48" s="7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">
      <c r="A49" s="2"/>
      <c r="B49" s="6"/>
      <c r="C49" s="6"/>
      <c r="D49" s="6"/>
      <c r="E49" s="7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5" customHeight="1" x14ac:dyDescent="0.2">
      <c r="A50" s="2"/>
      <c r="B50" s="199" t="s">
        <v>86</v>
      </c>
      <c r="C50" s="200"/>
      <c r="D50" s="200"/>
      <c r="E50" s="206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">
      <c r="A51" s="2"/>
      <c r="B51" s="9" t="s">
        <v>60</v>
      </c>
      <c r="C51" s="9" t="s">
        <v>87</v>
      </c>
      <c r="D51" s="9" t="s">
        <v>88</v>
      </c>
      <c r="E51" s="21" t="s">
        <v>47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">
      <c r="A52" s="2"/>
      <c r="B52" s="146" t="s">
        <v>89</v>
      </c>
      <c r="C52" s="36">
        <v>30000</v>
      </c>
      <c r="D52" s="37">
        <v>1</v>
      </c>
      <c r="E52" s="31">
        <f>C52*D52</f>
        <v>30000</v>
      </c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25.5" x14ac:dyDescent="0.2">
      <c r="A53" s="2"/>
      <c r="B53" s="35" t="s">
        <v>90</v>
      </c>
      <c r="C53" s="36">
        <v>30000</v>
      </c>
      <c r="D53" s="37">
        <v>2</v>
      </c>
      <c r="E53" s="31">
        <f t="shared" ref="E53:E67" si="1">C53*D53</f>
        <v>60000</v>
      </c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">
      <c r="A54" s="2"/>
      <c r="B54" s="146" t="s">
        <v>91</v>
      </c>
      <c r="C54" s="36">
        <v>1500</v>
      </c>
      <c r="D54" s="37">
        <v>2</v>
      </c>
      <c r="E54" s="31">
        <f t="shared" si="1"/>
        <v>3000</v>
      </c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25.5" x14ac:dyDescent="0.2">
      <c r="A55" s="2"/>
      <c r="B55" s="35" t="s">
        <v>92</v>
      </c>
      <c r="C55" s="36">
        <v>1343</v>
      </c>
      <c r="D55" s="37">
        <v>1</v>
      </c>
      <c r="E55" s="31">
        <f t="shared" si="1"/>
        <v>1343</v>
      </c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">
      <c r="A56" s="2"/>
      <c r="B56" s="146" t="s">
        <v>93</v>
      </c>
      <c r="C56" s="36">
        <v>12300</v>
      </c>
      <c r="D56" s="37">
        <v>1</v>
      </c>
      <c r="E56" s="31">
        <f t="shared" si="1"/>
        <v>12300</v>
      </c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">
      <c r="A57" s="2"/>
      <c r="B57" s="146" t="s">
        <v>94</v>
      </c>
      <c r="C57" s="36">
        <v>1500</v>
      </c>
      <c r="D57" s="37">
        <v>1</v>
      </c>
      <c r="E57" s="31">
        <f t="shared" si="1"/>
        <v>1500</v>
      </c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">
      <c r="A58" s="2"/>
      <c r="B58" s="146" t="s">
        <v>95</v>
      </c>
      <c r="C58" s="36">
        <v>0</v>
      </c>
      <c r="D58" s="37"/>
      <c r="E58" s="31">
        <f t="shared" si="1"/>
        <v>0</v>
      </c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">
      <c r="A59" s="2"/>
      <c r="B59" s="146" t="s">
        <v>96</v>
      </c>
      <c r="C59" s="36">
        <v>0</v>
      </c>
      <c r="D59" s="37"/>
      <c r="E59" s="31">
        <f t="shared" si="1"/>
        <v>0</v>
      </c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">
      <c r="A60" s="2"/>
      <c r="B60" s="45" t="s">
        <v>97</v>
      </c>
      <c r="C60" s="36">
        <v>1000</v>
      </c>
      <c r="D60" s="37">
        <v>1</v>
      </c>
      <c r="E60" s="31">
        <f t="shared" si="1"/>
        <v>1000</v>
      </c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">
      <c r="A61" s="2"/>
      <c r="B61" s="146" t="s">
        <v>98</v>
      </c>
      <c r="C61" s="36">
        <v>3000</v>
      </c>
      <c r="D61" s="37">
        <v>1</v>
      </c>
      <c r="E61" s="31">
        <f t="shared" si="1"/>
        <v>3000</v>
      </c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">
      <c r="A62" s="2"/>
      <c r="B62" s="146" t="s">
        <v>99</v>
      </c>
      <c r="C62" s="36">
        <v>5000</v>
      </c>
      <c r="D62" s="37"/>
      <c r="E62" s="31">
        <f t="shared" si="1"/>
        <v>0</v>
      </c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">
      <c r="A63" s="2"/>
      <c r="B63" s="38" t="s">
        <v>100</v>
      </c>
      <c r="C63" s="36"/>
      <c r="D63" s="37"/>
      <c r="E63" s="31">
        <f t="shared" si="1"/>
        <v>0</v>
      </c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25.5" x14ac:dyDescent="0.2">
      <c r="A64" s="2"/>
      <c r="B64" s="35" t="s">
        <v>101</v>
      </c>
      <c r="C64" s="36">
        <f>SUM(Remuneraciones!E3:E18)+Remuneraciones!E6*2</f>
        <v>75000</v>
      </c>
      <c r="D64" s="37">
        <v>2</v>
      </c>
      <c r="E64" s="31">
        <f t="shared" si="1"/>
        <v>150000</v>
      </c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">
      <c r="A65" s="2"/>
      <c r="B65" s="146" t="s">
        <v>102</v>
      </c>
      <c r="C65" s="36">
        <v>0</v>
      </c>
      <c r="D65" s="37">
        <v>2</v>
      </c>
      <c r="E65" s="31">
        <f t="shared" si="1"/>
        <v>0</v>
      </c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">
      <c r="A66" s="2"/>
      <c r="B66" s="146" t="s">
        <v>103</v>
      </c>
      <c r="C66" s="71">
        <f>Financiamiento!E5+Financiamiento!E6</f>
        <v>13256.420657946021</v>
      </c>
      <c r="D66" s="37">
        <v>1</v>
      </c>
      <c r="E66" s="31">
        <f t="shared" si="1"/>
        <v>13256.420657946021</v>
      </c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">
      <c r="A67" s="2"/>
      <c r="B67" s="146" t="s">
        <v>104</v>
      </c>
      <c r="C67" s="71">
        <f>Financiamiento!C5+Financiamiento!C6</f>
        <v>6291.8428044797856</v>
      </c>
      <c r="D67" s="37">
        <v>1</v>
      </c>
      <c r="E67" s="31">
        <f t="shared" si="1"/>
        <v>6291.8428044797856</v>
      </c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">
      <c r="A68" s="2"/>
      <c r="B68" s="146" t="s">
        <v>105</v>
      </c>
      <c r="C68" s="36"/>
      <c r="D68" s="37"/>
      <c r="E68" s="39">
        <f>SUM(E52:E65)</f>
        <v>262143</v>
      </c>
      <c r="F68" s="133">
        <f>E68*6</f>
        <v>1572858</v>
      </c>
      <c r="G68" s="13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">
      <c r="A69" s="2"/>
      <c r="B69" s="146" t="s">
        <v>9</v>
      </c>
      <c r="C69" s="36"/>
      <c r="D69" s="37"/>
      <c r="E69" s="39">
        <f>E66+E67+E68</f>
        <v>281691.26346242579</v>
      </c>
      <c r="F69" s="13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">
      <c r="A70" s="2"/>
      <c r="B70" s="5" t="s">
        <v>106</v>
      </c>
      <c r="C70" s="6"/>
      <c r="D70" s="6"/>
      <c r="E70" s="7"/>
      <c r="F70" s="13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">
      <c r="A71" s="2"/>
      <c r="B71" s="6"/>
      <c r="C71" s="6"/>
      <c r="D71" s="6"/>
      <c r="E71" s="7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5" customHeight="1" x14ac:dyDescent="0.2">
      <c r="A72" s="2"/>
      <c r="B72" s="199" t="s">
        <v>107</v>
      </c>
      <c r="C72" s="207"/>
      <c r="D72" s="208"/>
      <c r="E72" s="7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">
      <c r="A73" s="2"/>
      <c r="B73" s="40" t="s">
        <v>108</v>
      </c>
      <c r="C73" s="41"/>
      <c r="D73" s="10">
        <f>+F17</f>
        <v>45899</v>
      </c>
      <c r="E73" s="7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">
      <c r="A74" s="2"/>
      <c r="B74" s="40" t="s">
        <v>109</v>
      </c>
      <c r="C74" s="42"/>
      <c r="D74" s="10">
        <f>+E46</f>
        <v>274000</v>
      </c>
      <c r="E74" s="7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">
      <c r="A75" s="2"/>
      <c r="B75" s="40" t="s">
        <v>110</v>
      </c>
      <c r="C75" s="43"/>
      <c r="D75" s="10">
        <f>+E68</f>
        <v>262143</v>
      </c>
      <c r="E75" s="7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">
      <c r="A76" s="2"/>
      <c r="B76" s="11" t="s">
        <v>111</v>
      </c>
      <c r="C76" s="44"/>
      <c r="D76" s="14">
        <f>SUM(D73:D75)</f>
        <v>582042</v>
      </c>
      <c r="E76" s="7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">
      <c r="A77" s="2"/>
      <c r="B77" s="2"/>
      <c r="C77" s="2"/>
      <c r="D77" s="2"/>
      <c r="E77" s="4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">
      <c r="A78" s="2"/>
      <c r="B78" s="2" t="s">
        <v>112</v>
      </c>
      <c r="C78" s="2"/>
      <c r="D78" s="99">
        <f>'Capital  Social'!D8</f>
        <v>390000</v>
      </c>
      <c r="E78" s="4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">
      <c r="A79" s="2"/>
      <c r="B79" s="2"/>
      <c r="C79" s="2"/>
      <c r="D79" s="2"/>
      <c r="E79" s="4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">
      <c r="A80" s="2"/>
      <c r="B80" s="2" t="s">
        <v>113</v>
      </c>
      <c r="C80" s="2"/>
      <c r="D80" s="10">
        <f>+D76-D78-'Capital  Social'!C12</f>
        <v>172493.73653757421</v>
      </c>
      <c r="E80" s="4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">
      <c r="A81" s="2"/>
      <c r="B81" s="2"/>
      <c r="C81" s="2"/>
      <c r="D81" s="2"/>
      <c r="E81" s="4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mergeCells count="15">
    <mergeCell ref="B22:E22"/>
    <mergeCell ref="B50:E50"/>
    <mergeCell ref="B72:D72"/>
    <mergeCell ref="B11:E11"/>
    <mergeCell ref="B12:E12"/>
    <mergeCell ref="B13:E13"/>
    <mergeCell ref="B14:E14"/>
    <mergeCell ref="B15:E15"/>
    <mergeCell ref="B16:E16"/>
    <mergeCell ref="B10:E10"/>
    <mergeCell ref="B7:E7"/>
    <mergeCell ref="B2:F2"/>
    <mergeCell ref="D6:E6"/>
    <mergeCell ref="B8:E8"/>
    <mergeCell ref="B9:E9"/>
  </mergeCells>
  <pageMargins left="0.70866141732283472" right="0.70866141732283472" top="0.74803149606299213" bottom="0.74803149606299213" header="0.31496062992125984" footer="0.31496062992125984"/>
  <pageSetup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396C6-1CB5-4169-B6B1-4954DF4A8838}">
  <sheetPr>
    <pageSetUpPr fitToPage="1"/>
  </sheetPr>
  <dimension ref="A1:BI379"/>
  <sheetViews>
    <sheetView workbookViewId="0">
      <selection activeCell="J10" sqref="J10"/>
    </sheetView>
  </sheetViews>
  <sheetFormatPr baseColWidth="10" defaultColWidth="11.5546875" defaultRowHeight="15" x14ac:dyDescent="0.2"/>
  <cols>
    <col min="6" max="6" width="17.5546875" customWidth="1"/>
    <col min="9" max="9" width="18.33203125" customWidth="1"/>
    <col min="10" max="10" width="16.109375" customWidth="1"/>
  </cols>
  <sheetData>
    <row r="1" spans="1:6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</row>
    <row r="2" spans="1:61" ht="15.75" x14ac:dyDescent="0.2">
      <c r="A2" s="143"/>
      <c r="B2" s="143"/>
      <c r="C2" s="194" t="s">
        <v>114</v>
      </c>
      <c r="D2" s="194"/>
      <c r="E2" s="194"/>
      <c r="F2" s="14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</row>
    <row r="3" spans="1:61" ht="31.5" x14ac:dyDescent="0.2">
      <c r="A3" s="61"/>
      <c r="B3" s="61" t="s">
        <v>115</v>
      </c>
      <c r="C3" s="61" t="s">
        <v>116</v>
      </c>
      <c r="D3" s="61" t="s">
        <v>117</v>
      </c>
      <c r="E3" s="61" t="s">
        <v>118</v>
      </c>
      <c r="F3" s="61" t="s">
        <v>119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</row>
    <row r="4" spans="1:61" x14ac:dyDescent="0.2">
      <c r="A4" s="2"/>
      <c r="B4" s="72">
        <v>0</v>
      </c>
      <c r="C4" s="63"/>
      <c r="D4" s="63"/>
      <c r="E4" s="63"/>
      <c r="F4" s="63">
        <f>J6</f>
        <v>192042</v>
      </c>
      <c r="G4" s="64"/>
      <c r="H4" s="2"/>
      <c r="I4" s="2"/>
      <c r="J4" s="76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</row>
    <row r="5" spans="1:61" ht="15.75" x14ac:dyDescent="0.25">
      <c r="A5" s="2"/>
      <c r="B5" s="65">
        <v>1</v>
      </c>
      <c r="C5" s="66">
        <f>(F4/12)*$I$6</f>
        <v>3200.7000000000003</v>
      </c>
      <c r="D5" s="66">
        <f t="shared" ref="D5:D40" si="0">IF(B5&lt;=$K$6,($J$6*($I$6/12)*(((1+($I$6/12))^$K$6)/(((1+($I$6/12))^$K$6)-1))),0)</f>
        <v>9774.1317312129031</v>
      </c>
      <c r="E5" s="66">
        <f>D5-C5</f>
        <v>6573.4317312129024</v>
      </c>
      <c r="F5" s="66">
        <f>F4-E5</f>
        <v>185468.56826878709</v>
      </c>
      <c r="G5" s="64"/>
      <c r="H5" s="2"/>
      <c r="I5" s="46" t="s">
        <v>120</v>
      </c>
      <c r="J5" s="46" t="s">
        <v>121</v>
      </c>
      <c r="K5" s="143" t="s">
        <v>88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</row>
    <row r="6" spans="1:61" x14ac:dyDescent="0.2">
      <c r="A6" s="2"/>
      <c r="B6" s="62">
        <v>2</v>
      </c>
      <c r="C6" s="63">
        <f>(F5/12)*$I$6</f>
        <v>3091.1428044797849</v>
      </c>
      <c r="D6" s="63">
        <f t="shared" si="0"/>
        <v>9774.1317312129031</v>
      </c>
      <c r="E6" s="63">
        <f t="shared" ref="E6:E40" si="1">D6-C6</f>
        <v>6682.9889267331182</v>
      </c>
      <c r="F6" s="63">
        <f t="shared" ref="F6:F39" si="2">F5-E6</f>
        <v>178785.57934205397</v>
      </c>
      <c r="G6" s="64"/>
      <c r="H6" s="2"/>
      <c r="I6" s="67">
        <v>0.2</v>
      </c>
      <c r="J6" s="70">
        <v>192042</v>
      </c>
      <c r="K6" s="68">
        <v>24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</row>
    <row r="7" spans="1:61" x14ac:dyDescent="0.2">
      <c r="A7" s="2"/>
      <c r="B7" s="65">
        <v>3</v>
      </c>
      <c r="C7" s="66">
        <f t="shared" ref="C7:C40" si="3">(F6/12)*$I$6</f>
        <v>2979.7596557008997</v>
      </c>
      <c r="D7" s="66">
        <f t="shared" si="0"/>
        <v>9774.1317312129031</v>
      </c>
      <c r="E7" s="66">
        <f t="shared" si="1"/>
        <v>6794.372075512003</v>
      </c>
      <c r="F7" s="66">
        <f t="shared" si="2"/>
        <v>171991.20726654195</v>
      </c>
      <c r="G7" s="64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</row>
    <row r="8" spans="1:61" x14ac:dyDescent="0.2">
      <c r="A8" s="2"/>
      <c r="B8" s="62">
        <v>4</v>
      </c>
      <c r="C8" s="63">
        <f t="shared" si="3"/>
        <v>2866.520121109033</v>
      </c>
      <c r="D8" s="63">
        <f t="shared" si="0"/>
        <v>9774.1317312129031</v>
      </c>
      <c r="E8" s="63">
        <f t="shared" si="1"/>
        <v>6907.6116101038697</v>
      </c>
      <c r="F8" s="63">
        <f t="shared" si="2"/>
        <v>165083.59565643809</v>
      </c>
      <c r="G8" s="64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</row>
    <row r="9" spans="1:61" x14ac:dyDescent="0.2">
      <c r="A9" s="2"/>
      <c r="B9" s="65">
        <v>5</v>
      </c>
      <c r="C9" s="66">
        <f t="shared" si="3"/>
        <v>2751.3932609406347</v>
      </c>
      <c r="D9" s="66">
        <f t="shared" si="0"/>
        <v>9774.1317312129031</v>
      </c>
      <c r="E9" s="66">
        <f t="shared" si="1"/>
        <v>7022.7384702722684</v>
      </c>
      <c r="F9" s="66">
        <f t="shared" si="2"/>
        <v>158060.85718616581</v>
      </c>
      <c r="G9" s="64"/>
      <c r="H9" s="2"/>
      <c r="I9" s="2"/>
      <c r="J9" s="2"/>
      <c r="K9" s="2"/>
      <c r="L9" s="76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</row>
    <row r="10" spans="1:61" x14ac:dyDescent="0.2">
      <c r="A10" s="2"/>
      <c r="B10" s="62">
        <v>6</v>
      </c>
      <c r="C10" s="63">
        <f t="shared" si="3"/>
        <v>2634.3476197694304</v>
      </c>
      <c r="D10" s="63">
        <f t="shared" si="0"/>
        <v>9774.1317312129031</v>
      </c>
      <c r="E10" s="63">
        <f t="shared" si="1"/>
        <v>7139.7841114434723</v>
      </c>
      <c r="F10" s="63">
        <f t="shared" si="2"/>
        <v>150921.07307472234</v>
      </c>
      <c r="G10" s="64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</row>
    <row r="11" spans="1:61" x14ac:dyDescent="0.2">
      <c r="A11" s="2"/>
      <c r="B11" s="65">
        <v>7</v>
      </c>
      <c r="C11" s="66">
        <f t="shared" si="3"/>
        <v>2515.3512179120389</v>
      </c>
      <c r="D11" s="66">
        <f t="shared" si="0"/>
        <v>9774.1317312129031</v>
      </c>
      <c r="E11" s="66">
        <f t="shared" si="1"/>
        <v>7258.7805133008642</v>
      </c>
      <c r="F11" s="66">
        <f t="shared" si="2"/>
        <v>143662.29256142149</v>
      </c>
      <c r="G11" s="64"/>
      <c r="H11" s="2"/>
      <c r="I11" s="69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</row>
    <row r="12" spans="1:61" x14ac:dyDescent="0.2">
      <c r="A12" s="2"/>
      <c r="B12" s="62">
        <v>8</v>
      </c>
      <c r="C12" s="63">
        <f t="shared" si="3"/>
        <v>2394.3715426903582</v>
      </c>
      <c r="D12" s="63">
        <f t="shared" si="0"/>
        <v>9774.1317312129031</v>
      </c>
      <c r="E12" s="63">
        <f t="shared" si="1"/>
        <v>7379.7601885225449</v>
      </c>
      <c r="F12" s="63">
        <f t="shared" si="2"/>
        <v>136282.53237289895</v>
      </c>
      <c r="G12" s="64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</row>
    <row r="13" spans="1:61" x14ac:dyDescent="0.2">
      <c r="A13" s="2"/>
      <c r="B13" s="65">
        <v>9</v>
      </c>
      <c r="C13" s="66">
        <f t="shared" si="3"/>
        <v>2271.3755395483158</v>
      </c>
      <c r="D13" s="66">
        <f t="shared" si="0"/>
        <v>9774.1317312129031</v>
      </c>
      <c r="E13" s="66">
        <f t="shared" si="1"/>
        <v>7502.7561916645873</v>
      </c>
      <c r="F13" s="66">
        <f t="shared" si="2"/>
        <v>128779.77618123435</v>
      </c>
      <c r="G13" s="64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</row>
    <row r="14" spans="1:61" x14ac:dyDescent="0.2">
      <c r="A14" s="2"/>
      <c r="B14" s="62">
        <v>10</v>
      </c>
      <c r="C14" s="63">
        <f t="shared" si="3"/>
        <v>2146.3296030205724</v>
      </c>
      <c r="D14" s="63">
        <f t="shared" si="0"/>
        <v>9774.1317312129031</v>
      </c>
      <c r="E14" s="63">
        <f t="shared" si="1"/>
        <v>7627.8021281923302</v>
      </c>
      <c r="F14" s="63">
        <f t="shared" si="2"/>
        <v>121151.97405304202</v>
      </c>
      <c r="G14" s="64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</row>
    <row r="15" spans="1:61" x14ac:dyDescent="0.2">
      <c r="A15" s="2"/>
      <c r="B15" s="65">
        <v>11</v>
      </c>
      <c r="C15" s="66">
        <f t="shared" si="3"/>
        <v>2019.1995675507005</v>
      </c>
      <c r="D15" s="66">
        <f t="shared" si="0"/>
        <v>9774.1317312129031</v>
      </c>
      <c r="E15" s="66">
        <f t="shared" si="1"/>
        <v>7754.9321636622026</v>
      </c>
      <c r="F15" s="66">
        <f t="shared" si="2"/>
        <v>113397.04188937982</v>
      </c>
      <c r="G15" s="64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</row>
    <row r="16" spans="1:61" x14ac:dyDescent="0.2">
      <c r="A16" s="2"/>
      <c r="B16" s="62">
        <v>12</v>
      </c>
      <c r="C16" s="63">
        <f t="shared" si="3"/>
        <v>1889.9506981563304</v>
      </c>
      <c r="D16" s="63">
        <f t="shared" si="0"/>
        <v>9774.1317312129031</v>
      </c>
      <c r="E16" s="63">
        <f t="shared" si="1"/>
        <v>7884.1810330565731</v>
      </c>
      <c r="F16" s="63">
        <f t="shared" si="2"/>
        <v>105512.86085632324</v>
      </c>
      <c r="G16" s="64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</row>
    <row r="17" spans="1:61" x14ac:dyDescent="0.2">
      <c r="A17" s="2"/>
      <c r="B17" s="65">
        <v>13</v>
      </c>
      <c r="C17" s="66">
        <f t="shared" si="3"/>
        <v>1758.547680938721</v>
      </c>
      <c r="D17" s="66">
        <f t="shared" si="0"/>
        <v>9774.1317312129031</v>
      </c>
      <c r="E17" s="66">
        <f t="shared" si="1"/>
        <v>8015.5840502741821</v>
      </c>
      <c r="F17" s="66">
        <f t="shared" si="2"/>
        <v>97497.276806049063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</row>
    <row r="18" spans="1:61" x14ac:dyDescent="0.2">
      <c r="A18" s="2"/>
      <c r="B18" s="62">
        <v>14</v>
      </c>
      <c r="C18" s="63">
        <f t="shared" si="3"/>
        <v>1624.954613434151</v>
      </c>
      <c r="D18" s="63">
        <f t="shared" si="0"/>
        <v>9774.1317312129031</v>
      </c>
      <c r="E18" s="63">
        <f t="shared" si="1"/>
        <v>8149.1771177787523</v>
      </c>
      <c r="F18" s="63">
        <f t="shared" si="2"/>
        <v>89348.099688270304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</row>
    <row r="19" spans="1:61" x14ac:dyDescent="0.2">
      <c r="A19" s="2"/>
      <c r="B19" s="65">
        <v>15</v>
      </c>
      <c r="C19" s="66">
        <f t="shared" si="3"/>
        <v>1489.1349948045051</v>
      </c>
      <c r="D19" s="66">
        <f t="shared" si="0"/>
        <v>9774.1317312129031</v>
      </c>
      <c r="E19" s="66">
        <f t="shared" si="1"/>
        <v>8284.9967364083986</v>
      </c>
      <c r="F19" s="66">
        <f t="shared" si="2"/>
        <v>81063.102951861903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</row>
    <row r="20" spans="1:61" x14ac:dyDescent="0.2">
      <c r="A20" s="2"/>
      <c r="B20" s="62">
        <v>16</v>
      </c>
      <c r="C20" s="63">
        <f t="shared" si="3"/>
        <v>1351.0517158643652</v>
      </c>
      <c r="D20" s="63">
        <f t="shared" si="0"/>
        <v>9774.1317312129031</v>
      </c>
      <c r="E20" s="63">
        <f t="shared" si="1"/>
        <v>8423.0800153485379</v>
      </c>
      <c r="F20" s="63">
        <f t="shared" si="2"/>
        <v>72640.022936513371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</row>
    <row r="21" spans="1:61" x14ac:dyDescent="0.2">
      <c r="A21" s="2"/>
      <c r="B21" s="65">
        <v>17</v>
      </c>
      <c r="C21" s="66">
        <f t="shared" si="3"/>
        <v>1210.6670489418896</v>
      </c>
      <c r="D21" s="66">
        <f t="shared" si="0"/>
        <v>9774.1317312129031</v>
      </c>
      <c r="E21" s="66">
        <f t="shared" si="1"/>
        <v>8563.4646822710129</v>
      </c>
      <c r="F21" s="66">
        <f t="shared" si="2"/>
        <v>64076.558254242358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</row>
    <row r="22" spans="1:61" x14ac:dyDescent="0.2">
      <c r="A22" s="2"/>
      <c r="B22" s="62">
        <v>18</v>
      </c>
      <c r="C22" s="63">
        <f t="shared" si="3"/>
        <v>1067.942637570706</v>
      </c>
      <c r="D22" s="63">
        <f t="shared" si="0"/>
        <v>9774.1317312129031</v>
      </c>
      <c r="E22" s="63">
        <f t="shared" si="1"/>
        <v>8706.1890936421969</v>
      </c>
      <c r="F22" s="63">
        <f t="shared" si="2"/>
        <v>55370.369160600159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</row>
    <row r="23" spans="1:61" x14ac:dyDescent="0.2">
      <c r="A23" s="2"/>
      <c r="B23" s="65">
        <v>19</v>
      </c>
      <c r="C23" s="66">
        <f t="shared" si="3"/>
        <v>922.8394860100027</v>
      </c>
      <c r="D23" s="66">
        <f t="shared" si="0"/>
        <v>9774.1317312129031</v>
      </c>
      <c r="E23" s="66">
        <f t="shared" si="1"/>
        <v>8851.2922452028997</v>
      </c>
      <c r="F23" s="66">
        <f t="shared" si="2"/>
        <v>46519.076915397258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</row>
    <row r="24" spans="1:61" x14ac:dyDescent="0.2">
      <c r="A24" s="2"/>
      <c r="B24" s="62">
        <v>20</v>
      </c>
      <c r="C24" s="63">
        <f t="shared" si="3"/>
        <v>775.31794858995431</v>
      </c>
      <c r="D24" s="63">
        <f t="shared" si="0"/>
        <v>9774.1317312129031</v>
      </c>
      <c r="E24" s="63">
        <f t="shared" si="1"/>
        <v>8998.8137826229486</v>
      </c>
      <c r="F24" s="63">
        <f t="shared" si="2"/>
        <v>37520.263132774307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</row>
    <row r="25" spans="1:61" x14ac:dyDescent="0.2">
      <c r="A25" s="2"/>
      <c r="B25" s="65">
        <v>21</v>
      </c>
      <c r="C25" s="66">
        <f t="shared" si="3"/>
        <v>625.33771887957187</v>
      </c>
      <c r="D25" s="66">
        <f t="shared" si="0"/>
        <v>9774.1317312129031</v>
      </c>
      <c r="E25" s="66">
        <f t="shared" si="1"/>
        <v>9148.7940123333319</v>
      </c>
      <c r="F25" s="66">
        <f t="shared" si="2"/>
        <v>28371.469120440976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</row>
    <row r="26" spans="1:61" x14ac:dyDescent="0.2">
      <c r="A26" s="2"/>
      <c r="B26" s="62">
        <v>22</v>
      </c>
      <c r="C26" s="63">
        <f t="shared" si="3"/>
        <v>472.8578186740163</v>
      </c>
      <c r="D26" s="63">
        <f t="shared" si="0"/>
        <v>9774.1317312129031</v>
      </c>
      <c r="E26" s="63">
        <f t="shared" si="1"/>
        <v>9301.2739125388871</v>
      </c>
      <c r="F26" s="63">
        <f t="shared" si="2"/>
        <v>19070.195207902088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</row>
    <row r="27" spans="1:61" x14ac:dyDescent="0.2">
      <c r="A27" s="2"/>
      <c r="B27" s="65">
        <v>23</v>
      </c>
      <c r="C27" s="66">
        <f t="shared" si="3"/>
        <v>317.83658679836816</v>
      </c>
      <c r="D27" s="66">
        <f t="shared" si="0"/>
        <v>9774.1317312129031</v>
      </c>
      <c r="E27" s="66">
        <f t="shared" si="1"/>
        <v>9456.2951444145347</v>
      </c>
      <c r="F27" s="66">
        <f t="shared" si="2"/>
        <v>9613.9000634875538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</row>
    <row r="28" spans="1:61" x14ac:dyDescent="0.2">
      <c r="A28" s="2"/>
      <c r="B28" s="62">
        <v>24</v>
      </c>
      <c r="C28" s="63">
        <f t="shared" si="3"/>
        <v>160.23166772479257</v>
      </c>
      <c r="D28" s="63">
        <f t="shared" si="0"/>
        <v>9774.1317312129031</v>
      </c>
      <c r="E28" s="63">
        <f t="shared" si="1"/>
        <v>9613.9000634881104</v>
      </c>
      <c r="F28" s="63">
        <f t="shared" si="2"/>
        <v>-5.5661075748503208E-10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</row>
    <row r="29" spans="1:61" x14ac:dyDescent="0.2">
      <c r="A29" s="2"/>
      <c r="B29" s="65">
        <v>25</v>
      </c>
      <c r="C29" s="66">
        <f t="shared" si="3"/>
        <v>-9.276845958083869E-12</v>
      </c>
      <c r="D29" s="66">
        <f t="shared" si="0"/>
        <v>0</v>
      </c>
      <c r="E29" s="66">
        <f t="shared" si="1"/>
        <v>9.276845958083869E-12</v>
      </c>
      <c r="F29" s="66">
        <f t="shared" si="2"/>
        <v>-5.6588760344311599E-10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</row>
    <row r="30" spans="1:61" x14ac:dyDescent="0.2">
      <c r="A30" s="2"/>
      <c r="B30" s="62">
        <v>26</v>
      </c>
      <c r="C30" s="63">
        <f t="shared" si="3"/>
        <v>-9.4314600573852667E-12</v>
      </c>
      <c r="D30" s="63">
        <f t="shared" si="0"/>
        <v>0</v>
      </c>
      <c r="E30" s="63">
        <f t="shared" si="1"/>
        <v>9.4314600573852667E-12</v>
      </c>
      <c r="F30" s="63">
        <f t="shared" si="2"/>
        <v>-5.7531906350050126E-10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</row>
    <row r="31" spans="1:61" x14ac:dyDescent="0.2">
      <c r="A31" s="2"/>
      <c r="B31" s="65">
        <v>27</v>
      </c>
      <c r="C31" s="66">
        <f t="shared" si="3"/>
        <v>-9.5886510583416877E-12</v>
      </c>
      <c r="D31" s="66">
        <f t="shared" si="0"/>
        <v>0</v>
      </c>
      <c r="E31" s="66">
        <f t="shared" si="1"/>
        <v>9.5886510583416877E-12</v>
      </c>
      <c r="F31" s="66">
        <f t="shared" si="2"/>
        <v>-5.8490771455884292E-10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</row>
    <row r="32" spans="1:61" x14ac:dyDescent="0.2">
      <c r="A32" s="2"/>
      <c r="B32" s="62">
        <v>28</v>
      </c>
      <c r="C32" s="63">
        <f t="shared" si="3"/>
        <v>-9.7484619093140498E-12</v>
      </c>
      <c r="D32" s="63">
        <f t="shared" si="0"/>
        <v>0</v>
      </c>
      <c r="E32" s="63">
        <f t="shared" si="1"/>
        <v>9.7484619093140498E-12</v>
      </c>
      <c r="F32" s="63">
        <f t="shared" si="2"/>
        <v>-5.9465617646815699E-10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</row>
    <row r="33" spans="1:61" x14ac:dyDescent="0.2">
      <c r="A33" s="2"/>
      <c r="B33" s="65">
        <v>29</v>
      </c>
      <c r="C33" s="66">
        <f t="shared" si="3"/>
        <v>-9.9109362744692841E-12</v>
      </c>
      <c r="D33" s="66">
        <f t="shared" si="0"/>
        <v>0</v>
      </c>
      <c r="E33" s="66">
        <f t="shared" si="1"/>
        <v>9.9109362744692841E-12</v>
      </c>
      <c r="F33" s="66">
        <f t="shared" si="2"/>
        <v>-6.0456711274262626E-10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</row>
    <row r="34" spans="1:61" x14ac:dyDescent="0.2">
      <c r="A34" s="2"/>
      <c r="B34" s="62">
        <v>30</v>
      </c>
      <c r="C34" s="63">
        <f t="shared" si="3"/>
        <v>-1.0076118545710438E-11</v>
      </c>
      <c r="D34" s="63">
        <f t="shared" si="0"/>
        <v>0</v>
      </c>
      <c r="E34" s="63">
        <f t="shared" si="1"/>
        <v>1.0076118545710438E-11</v>
      </c>
      <c r="F34" s="63">
        <f t="shared" si="2"/>
        <v>-6.1464323128833667E-10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</row>
    <row r="35" spans="1:61" x14ac:dyDescent="0.2">
      <c r="A35" s="2"/>
      <c r="B35" s="65">
        <v>31</v>
      </c>
      <c r="C35" s="66">
        <f t="shared" si="3"/>
        <v>-1.0244053854805612E-11</v>
      </c>
      <c r="D35" s="66">
        <f t="shared" si="0"/>
        <v>0</v>
      </c>
      <c r="E35" s="66">
        <f t="shared" si="1"/>
        <v>1.0244053854805612E-11</v>
      </c>
      <c r="F35" s="66">
        <f t="shared" si="2"/>
        <v>-6.2488728514314226E-10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</row>
    <row r="36" spans="1:61" x14ac:dyDescent="0.2">
      <c r="A36" s="2"/>
      <c r="B36" s="62">
        <v>32</v>
      </c>
      <c r="C36" s="63">
        <f t="shared" si="3"/>
        <v>-1.0414788085719038E-11</v>
      </c>
      <c r="D36" s="63">
        <f t="shared" si="0"/>
        <v>0</v>
      </c>
      <c r="E36" s="63">
        <f t="shared" si="1"/>
        <v>1.0414788085719038E-11</v>
      </c>
      <c r="F36" s="63">
        <f t="shared" si="2"/>
        <v>-6.3530207322886125E-10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</row>
    <row r="37" spans="1:61" x14ac:dyDescent="0.2">
      <c r="A37" s="2"/>
      <c r="B37" s="65">
        <v>33</v>
      </c>
      <c r="C37" s="66">
        <f t="shared" si="3"/>
        <v>-1.0588367887147688E-11</v>
      </c>
      <c r="D37" s="66">
        <f t="shared" si="0"/>
        <v>0</v>
      </c>
      <c r="E37" s="66">
        <f t="shared" si="1"/>
        <v>1.0588367887147688E-11</v>
      </c>
      <c r="F37" s="66">
        <f t="shared" si="2"/>
        <v>-6.4589044111600895E-10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</row>
    <row r="38" spans="1:61" x14ac:dyDescent="0.2">
      <c r="A38" s="2"/>
      <c r="B38" s="62">
        <v>34</v>
      </c>
      <c r="C38" s="63">
        <f t="shared" si="3"/>
        <v>-1.0764840685266818E-11</v>
      </c>
      <c r="D38" s="63">
        <f t="shared" si="0"/>
        <v>0</v>
      </c>
      <c r="E38" s="63">
        <f t="shared" si="1"/>
        <v>1.0764840685266818E-11</v>
      </c>
      <c r="F38" s="63">
        <f t="shared" si="2"/>
        <v>-6.5665528180127579E-10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</row>
    <row r="39" spans="1:61" x14ac:dyDescent="0.2">
      <c r="A39" s="2"/>
      <c r="B39" s="65">
        <v>35</v>
      </c>
      <c r="C39" s="66">
        <f t="shared" si="3"/>
        <v>-1.094425469668793E-11</v>
      </c>
      <c r="D39" s="66">
        <f t="shared" si="0"/>
        <v>0</v>
      </c>
      <c r="E39" s="66">
        <f t="shared" si="1"/>
        <v>1.094425469668793E-11</v>
      </c>
      <c r="F39" s="66">
        <f t="shared" si="2"/>
        <v>-6.6759953649796375E-10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</row>
    <row r="40" spans="1:61" x14ac:dyDescent="0.2">
      <c r="A40" s="2"/>
      <c r="B40" s="62">
        <v>36</v>
      </c>
      <c r="C40" s="63">
        <f t="shared" si="3"/>
        <v>-1.1126658941632729E-11</v>
      </c>
      <c r="D40" s="63">
        <f t="shared" si="0"/>
        <v>0</v>
      </c>
      <c r="E40" s="63">
        <f t="shared" si="1"/>
        <v>1.1126658941632729E-11</v>
      </c>
      <c r="F40" s="63">
        <f>F39-E40</f>
        <v>-6.7872619543959645E-10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</row>
    <row r="41" spans="1:6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</row>
    <row r="42" spans="1:6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</row>
    <row r="43" spans="1:6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</row>
    <row r="44" spans="1:6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</row>
    <row r="45" spans="1:6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</row>
    <row r="46" spans="1:6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</row>
    <row r="47" spans="1:6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</row>
    <row r="48" spans="1:6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</row>
    <row r="49" spans="1:6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</row>
    <row r="50" spans="1:6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</row>
    <row r="51" spans="1:6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</row>
    <row r="52" spans="1:6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</row>
    <row r="53" spans="1:6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</row>
    <row r="54" spans="1:6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</row>
    <row r="55" spans="1:6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</row>
    <row r="56" spans="1:6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</row>
    <row r="57" spans="1:6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</row>
    <row r="58" spans="1:6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</row>
    <row r="59" spans="1:6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</row>
    <row r="60" spans="1:6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</row>
    <row r="61" spans="1:6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</row>
    <row r="62" spans="1:6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</row>
    <row r="63" spans="1:6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</row>
    <row r="64" spans="1:6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</row>
    <row r="65" spans="1:6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</row>
    <row r="66" spans="1:6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</row>
    <row r="67" spans="1:6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</row>
    <row r="68" spans="1:6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</row>
    <row r="69" spans="1:6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</row>
    <row r="70" spans="1:6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</row>
    <row r="71" spans="1:6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</row>
    <row r="72" spans="1:6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</row>
    <row r="73" spans="1:6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</row>
    <row r="74" spans="1:6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</row>
    <row r="75" spans="1:6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</row>
    <row r="76" spans="1:6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</row>
    <row r="77" spans="1:6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</row>
    <row r="78" spans="1:6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</row>
    <row r="79" spans="1:6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</row>
    <row r="80" spans="1:6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</row>
    <row r="81" spans="1:6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</row>
    <row r="82" spans="1:6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</row>
    <row r="83" spans="1:6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</row>
    <row r="84" spans="1:6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</row>
    <row r="85" spans="1:6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</row>
    <row r="86" spans="1:6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</row>
    <row r="87" spans="1:6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</row>
    <row r="88" spans="1:6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</row>
    <row r="89" spans="1:6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</row>
    <row r="90" spans="1:6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</row>
    <row r="91" spans="1:6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</row>
    <row r="92" spans="1:6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</row>
    <row r="93" spans="1:6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</row>
    <row r="94" spans="1:6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</row>
    <row r="95" spans="1:6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</row>
    <row r="96" spans="1:6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</row>
    <row r="97" spans="1:6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</row>
    <row r="98" spans="1:6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</row>
    <row r="99" spans="1:6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</row>
    <row r="100" spans="1:6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</row>
    <row r="101" spans="1:6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</row>
    <row r="102" spans="1:6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</row>
    <row r="103" spans="1:6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</row>
    <row r="104" spans="1:6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</row>
    <row r="105" spans="1:6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</row>
    <row r="106" spans="1:6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</row>
    <row r="107" spans="1:6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</row>
    <row r="108" spans="1:6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</row>
    <row r="109" spans="1:6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</row>
    <row r="110" spans="1:6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</row>
    <row r="111" spans="1:6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</row>
    <row r="112" spans="1:6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</row>
    <row r="113" spans="1:6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</row>
    <row r="114" spans="1:6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</row>
    <row r="115" spans="1:6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</row>
    <row r="116" spans="1:6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</row>
    <row r="117" spans="1:6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</row>
    <row r="118" spans="1:6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</row>
    <row r="119" spans="1:6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</row>
    <row r="120" spans="1:6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</row>
    <row r="121" spans="1:6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</row>
    <row r="122" spans="1:6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</row>
    <row r="123" spans="1:6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</row>
    <row r="124" spans="1:6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</row>
    <row r="125" spans="1:6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</row>
    <row r="126" spans="1:6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</row>
    <row r="127" spans="1:6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</row>
    <row r="128" spans="1:6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</row>
    <row r="129" spans="1:6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</row>
    <row r="130" spans="1:6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</row>
    <row r="131" spans="1:6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</row>
    <row r="132" spans="1:6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</row>
    <row r="133" spans="1:6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</row>
    <row r="134" spans="1:6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</row>
    <row r="135" spans="1:6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</row>
    <row r="136" spans="1:6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</row>
    <row r="137" spans="1:6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</row>
    <row r="138" spans="1:6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</row>
    <row r="139" spans="1:6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</row>
    <row r="140" spans="1:6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</row>
    <row r="141" spans="1:6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</row>
    <row r="142" spans="1:6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</row>
    <row r="143" spans="1:6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</row>
    <row r="144" spans="1:6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</row>
    <row r="145" spans="1:6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</row>
    <row r="146" spans="1:6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</row>
    <row r="147" spans="1:6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</row>
    <row r="148" spans="1:6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</row>
    <row r="149" spans="1:6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</row>
    <row r="150" spans="1:6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</row>
    <row r="151" spans="1:6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</row>
    <row r="152" spans="1:6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</row>
    <row r="153" spans="1:6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</row>
    <row r="154" spans="1:6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</row>
    <row r="155" spans="1:6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</row>
    <row r="156" spans="1:6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</row>
    <row r="157" spans="1:6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</row>
    <row r="158" spans="1:6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</row>
    <row r="159" spans="1:6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</row>
    <row r="160" spans="1:6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</row>
    <row r="161" spans="1:6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</row>
    <row r="162" spans="1:6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</row>
    <row r="163" spans="1:6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</row>
    <row r="164" spans="1:6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</row>
    <row r="165" spans="1:6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</row>
    <row r="166" spans="1:6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</row>
    <row r="167" spans="1:6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</row>
    <row r="168" spans="1:6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</row>
    <row r="169" spans="1:6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</row>
    <row r="170" spans="1:6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</row>
    <row r="171" spans="1:6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</row>
    <row r="172" spans="1:6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</row>
    <row r="173" spans="1:6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</row>
    <row r="174" spans="1:6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</row>
    <row r="175" spans="1:6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</row>
    <row r="176" spans="1:6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</row>
    <row r="177" spans="1:6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</row>
    <row r="178" spans="1:6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</row>
    <row r="179" spans="1:6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</row>
    <row r="180" spans="1:6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</row>
    <row r="181" spans="1:6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</row>
    <row r="182" spans="1:6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</row>
    <row r="183" spans="1:6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</row>
    <row r="184" spans="1:6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</row>
    <row r="185" spans="1:6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</row>
    <row r="186" spans="1:6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</row>
    <row r="187" spans="1:6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</row>
    <row r="188" spans="1:6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</row>
    <row r="189" spans="1:6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</row>
    <row r="190" spans="1:6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</row>
    <row r="191" spans="1:6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</row>
    <row r="192" spans="1:6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</row>
    <row r="193" spans="1:6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</row>
    <row r="194" spans="1:6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</row>
    <row r="195" spans="1:6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</row>
    <row r="196" spans="1:6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</row>
    <row r="197" spans="1:6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</row>
    <row r="198" spans="1:6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</row>
    <row r="199" spans="1:6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</row>
    <row r="200" spans="1:6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</row>
    <row r="201" spans="1:6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</row>
    <row r="202" spans="1:6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</row>
    <row r="203" spans="1:6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</row>
    <row r="204" spans="1:6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</row>
    <row r="205" spans="1:6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</row>
    <row r="206" spans="1:6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</row>
    <row r="207" spans="1:6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</row>
    <row r="208" spans="1:6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</row>
    <row r="209" spans="1:6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</row>
    <row r="210" spans="1:6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</row>
    <row r="211" spans="1:6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</row>
    <row r="212" spans="1:6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</row>
    <row r="213" spans="1:6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</row>
    <row r="214" spans="1:6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</row>
    <row r="215" spans="1:6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</row>
    <row r="216" spans="1:6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</row>
    <row r="217" spans="1:6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</row>
    <row r="218" spans="1:6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</row>
    <row r="219" spans="1:6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</row>
    <row r="220" spans="1:6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</row>
    <row r="221" spans="1:6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</row>
    <row r="222" spans="1:6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</row>
    <row r="223" spans="1:6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</row>
    <row r="224" spans="1:6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</row>
    <row r="225" spans="1:6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</row>
    <row r="226" spans="1:6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</row>
    <row r="227" spans="1:6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</row>
    <row r="228" spans="1:6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</row>
    <row r="229" spans="1:6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</row>
    <row r="230" spans="1:6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</row>
    <row r="231" spans="1:6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</row>
    <row r="232" spans="1:6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</row>
    <row r="233" spans="1:6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</row>
    <row r="234" spans="1:6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</row>
    <row r="235" spans="1:6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</row>
    <row r="236" spans="1:6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</row>
    <row r="237" spans="1:6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</row>
    <row r="238" spans="1:6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</row>
    <row r="239" spans="1:6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</row>
    <row r="240" spans="1:6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</row>
    <row r="241" spans="1:6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</row>
    <row r="242" spans="1:6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</row>
    <row r="243" spans="1:6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</row>
    <row r="244" spans="1:6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</row>
    <row r="245" spans="1:6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</row>
    <row r="246" spans="1:6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</row>
    <row r="247" spans="1:6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</row>
    <row r="248" spans="1:6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</row>
    <row r="249" spans="1:6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</row>
    <row r="250" spans="1:6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</row>
    <row r="251" spans="1:6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</row>
    <row r="252" spans="1:6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</row>
    <row r="253" spans="1:6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</row>
    <row r="254" spans="1:6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</row>
    <row r="255" spans="1:6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</row>
    <row r="256" spans="1:6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</row>
    <row r="257" spans="1:6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</row>
    <row r="259" spans="1:6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</row>
    <row r="260" spans="1:6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</row>
    <row r="261" spans="1:6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</row>
    <row r="262" spans="1:6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</row>
    <row r="263" spans="1:6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</row>
    <row r="264" spans="1:6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</row>
    <row r="265" spans="1:6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</row>
    <row r="266" spans="1:6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</row>
    <row r="267" spans="1:6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</row>
    <row r="268" spans="1:6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</row>
    <row r="269" spans="1:6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</row>
    <row r="270" spans="1:6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</row>
    <row r="271" spans="1:6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</row>
    <row r="272" spans="1:6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</row>
    <row r="273" spans="1:6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</row>
    <row r="274" spans="1:6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</row>
    <row r="275" spans="1:6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</row>
    <row r="276" spans="1:6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</row>
    <row r="277" spans="1:6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</row>
    <row r="278" spans="1:6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</row>
    <row r="279" spans="1:6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</row>
    <row r="280" spans="1:6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</row>
    <row r="281" spans="1:6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</row>
    <row r="282" spans="1:6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</row>
    <row r="283" spans="1:6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</row>
    <row r="284" spans="1:6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</row>
    <row r="285" spans="1:6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</row>
    <row r="286" spans="1:6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</row>
    <row r="287" spans="1:6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</row>
    <row r="288" spans="1:6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6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</row>
    <row r="290" spans="1:6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</row>
    <row r="291" spans="1:6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</row>
    <row r="292" spans="1:6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</row>
    <row r="293" spans="1:6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</row>
    <row r="294" spans="1:6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</row>
    <row r="295" spans="1:6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</row>
    <row r="296" spans="1:6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</row>
    <row r="297" spans="1:6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</row>
    <row r="298" spans="1:6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  <c r="Z298" s="76"/>
      <c r="AA298" s="76"/>
      <c r="AB298" s="76"/>
      <c r="AC298" s="76"/>
      <c r="AD298" s="76"/>
      <c r="AE298" s="76"/>
      <c r="AF298" s="76"/>
      <c r="AG298" s="76"/>
      <c r="AH298" s="76"/>
      <c r="AI298" s="76"/>
      <c r="AJ298" s="76"/>
      <c r="AK298" s="76"/>
      <c r="AL298" s="76"/>
      <c r="AM298" s="76"/>
      <c r="AN298" s="76"/>
      <c r="AO298" s="76"/>
      <c r="AP298" s="76"/>
      <c r="AQ298" s="76"/>
      <c r="AR298" s="76"/>
      <c r="AS298" s="76"/>
      <c r="AT298" s="76"/>
      <c r="AU298" s="76"/>
      <c r="AV298" s="76"/>
      <c r="AW298" s="76"/>
      <c r="AX298" s="76"/>
      <c r="AY298" s="76"/>
      <c r="AZ298" s="76"/>
      <c r="BA298" s="76"/>
      <c r="BB298" s="76"/>
      <c r="BC298" s="76"/>
      <c r="BD298" s="76"/>
      <c r="BE298" s="76"/>
      <c r="BF298" s="76"/>
      <c r="BG298" s="76"/>
      <c r="BH298" s="76"/>
      <c r="BI298" s="76"/>
    </row>
    <row r="299" spans="1:6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/>
      <c r="AA299" s="76"/>
      <c r="AB299" s="76"/>
      <c r="AC299" s="76"/>
      <c r="AD299" s="76"/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/>
      <c r="AP299" s="76"/>
      <c r="AQ299" s="76"/>
      <c r="AR299" s="76"/>
      <c r="AS299" s="76"/>
      <c r="AT299" s="76"/>
      <c r="AU299" s="76"/>
      <c r="AV299" s="76"/>
      <c r="AW299" s="76"/>
      <c r="AX299" s="76"/>
      <c r="AY299" s="76"/>
      <c r="AZ299" s="76"/>
      <c r="BA299" s="76"/>
      <c r="BB299" s="76"/>
      <c r="BC299" s="76"/>
      <c r="BD299" s="76"/>
      <c r="BE299" s="76"/>
      <c r="BF299" s="76"/>
      <c r="BG299" s="76"/>
      <c r="BH299" s="76"/>
      <c r="BI299" s="76"/>
    </row>
    <row r="300" spans="1:6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  <c r="Z300" s="76"/>
      <c r="AA300" s="76"/>
      <c r="AB300" s="76"/>
      <c r="AC300" s="76"/>
      <c r="AD300" s="76"/>
      <c r="AE300" s="76"/>
      <c r="AF300" s="76"/>
      <c r="AG300" s="76"/>
      <c r="AH300" s="76"/>
      <c r="AI300" s="76"/>
      <c r="AJ300" s="76"/>
      <c r="AK300" s="76"/>
      <c r="AL300" s="76"/>
      <c r="AM300" s="76"/>
      <c r="AN300" s="76"/>
      <c r="AO300" s="76"/>
      <c r="AP300" s="76"/>
      <c r="AQ300" s="76"/>
      <c r="AR300" s="76"/>
      <c r="AS300" s="76"/>
      <c r="AT300" s="76"/>
      <c r="AU300" s="76"/>
      <c r="AV300" s="76"/>
      <c r="AW300" s="76"/>
      <c r="AX300" s="76"/>
      <c r="AY300" s="76"/>
      <c r="AZ300" s="76"/>
      <c r="BA300" s="76"/>
      <c r="BB300" s="76"/>
      <c r="BC300" s="76"/>
      <c r="BD300" s="76"/>
      <c r="BE300" s="76"/>
      <c r="BF300" s="76"/>
      <c r="BG300" s="76"/>
      <c r="BH300" s="76"/>
      <c r="BI300" s="76"/>
    </row>
    <row r="301" spans="1:6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  <c r="Z301" s="76"/>
      <c r="AA301" s="76"/>
      <c r="AB301" s="76"/>
      <c r="AC301" s="76"/>
      <c r="AD301" s="76"/>
      <c r="AE301" s="76"/>
      <c r="AF301" s="76"/>
      <c r="AG301" s="76"/>
      <c r="AH301" s="76"/>
      <c r="AI301" s="76"/>
      <c r="AJ301" s="76"/>
      <c r="AK301" s="76"/>
      <c r="AL301" s="76"/>
      <c r="AM301" s="76"/>
      <c r="AN301" s="76"/>
      <c r="AO301" s="76"/>
      <c r="AP301" s="76"/>
      <c r="AQ301" s="76"/>
      <c r="AR301" s="76"/>
      <c r="AS301" s="76"/>
      <c r="AT301" s="76"/>
      <c r="AU301" s="76"/>
      <c r="AV301" s="76"/>
      <c r="AW301" s="76"/>
      <c r="AX301" s="76"/>
      <c r="AY301" s="76"/>
      <c r="AZ301" s="76"/>
      <c r="BA301" s="76"/>
      <c r="BB301" s="76"/>
      <c r="BC301" s="76"/>
      <c r="BD301" s="76"/>
      <c r="BE301" s="76"/>
      <c r="BF301" s="76"/>
      <c r="BG301" s="76"/>
      <c r="BH301" s="76"/>
      <c r="BI301" s="76"/>
    </row>
    <row r="302" spans="1:6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  <c r="Z302" s="76"/>
      <c r="AA302" s="76"/>
      <c r="AB302" s="76"/>
      <c r="AC302" s="76"/>
      <c r="AD302" s="76"/>
      <c r="AE302" s="76"/>
      <c r="AF302" s="76"/>
      <c r="AG302" s="76"/>
      <c r="AH302" s="76"/>
      <c r="AI302" s="76"/>
      <c r="AJ302" s="76"/>
      <c r="AK302" s="76"/>
      <c r="AL302" s="76"/>
      <c r="AM302" s="76"/>
      <c r="AN302" s="76"/>
      <c r="AO302" s="76"/>
      <c r="AP302" s="76"/>
      <c r="AQ302" s="76"/>
      <c r="AR302" s="76"/>
      <c r="AS302" s="76"/>
      <c r="AT302" s="76"/>
      <c r="AU302" s="76"/>
      <c r="AV302" s="76"/>
      <c r="AW302" s="76"/>
      <c r="AX302" s="76"/>
      <c r="AY302" s="76"/>
      <c r="AZ302" s="76"/>
      <c r="BA302" s="76"/>
      <c r="BB302" s="76"/>
      <c r="BC302" s="76"/>
      <c r="BD302" s="76"/>
      <c r="BE302" s="76"/>
      <c r="BF302" s="76"/>
      <c r="BG302" s="76"/>
      <c r="BH302" s="76"/>
      <c r="BI302" s="76"/>
    </row>
    <row r="303" spans="1:6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/>
      <c r="AC303" s="76"/>
      <c r="AD303" s="76"/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/>
      <c r="AS303" s="76"/>
      <c r="AT303" s="76"/>
      <c r="AU303" s="76"/>
      <c r="AV303" s="76"/>
      <c r="AW303" s="76"/>
      <c r="AX303" s="76"/>
      <c r="AY303" s="76"/>
      <c r="AZ303" s="76"/>
      <c r="BA303" s="76"/>
      <c r="BB303" s="76"/>
      <c r="BC303" s="76"/>
      <c r="BD303" s="76"/>
      <c r="BE303" s="76"/>
      <c r="BF303" s="76"/>
      <c r="BG303" s="76"/>
      <c r="BH303" s="76"/>
      <c r="BI303" s="76"/>
    </row>
    <row r="304" spans="1:6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/>
      <c r="AC304" s="76"/>
      <c r="AD304" s="76"/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  <c r="AW304" s="76"/>
      <c r="AX304" s="76"/>
      <c r="AY304" s="76"/>
      <c r="AZ304" s="76"/>
      <c r="BA304" s="76"/>
      <c r="BB304" s="76"/>
      <c r="BC304" s="76"/>
      <c r="BD304" s="76"/>
      <c r="BE304" s="76"/>
      <c r="BF304" s="76"/>
      <c r="BG304" s="76"/>
      <c r="BH304" s="76"/>
      <c r="BI304" s="76"/>
    </row>
    <row r="305" spans="1:1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</row>
    <row r="306" spans="1:1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</row>
    <row r="307" spans="1:1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</row>
    <row r="308" spans="1:1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</row>
    <row r="309" spans="1:1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</row>
    <row r="310" spans="1:1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</row>
    <row r="311" spans="1:1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</row>
    <row r="312" spans="1:1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</row>
    <row r="313" spans="1:1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</row>
    <row r="314" spans="1:1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</row>
    <row r="315" spans="1:1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</row>
    <row r="316" spans="1:1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</row>
    <row r="317" spans="1:1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</row>
    <row r="318" spans="1:1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</row>
    <row r="319" spans="1:1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</row>
    <row r="320" spans="1:1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</row>
    <row r="321" spans="1:1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</row>
    <row r="322" spans="1:1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</row>
    <row r="323" spans="1:1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</row>
    <row r="324" spans="1:1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</row>
    <row r="325" spans="1:1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</row>
    <row r="326" spans="1:1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</row>
    <row r="327" spans="1:1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</row>
    <row r="328" spans="1:1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</row>
    <row r="329" spans="1:1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</row>
    <row r="330" spans="1:1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</row>
    <row r="331" spans="1:1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</row>
    <row r="332" spans="1:1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</row>
    <row r="333" spans="1:1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</row>
    <row r="334" spans="1:1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</row>
    <row r="335" spans="1:1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</row>
    <row r="336" spans="1:1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</row>
    <row r="337" spans="1:1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</row>
    <row r="338" spans="1:1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</row>
    <row r="339" spans="1:1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</row>
    <row r="340" spans="1:1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</row>
    <row r="341" spans="1:1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</row>
    <row r="342" spans="1:1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</row>
    <row r="343" spans="1:1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</row>
    <row r="344" spans="1:1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</row>
    <row r="345" spans="1:1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</row>
    <row r="346" spans="1:1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</row>
    <row r="347" spans="1:1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</row>
    <row r="348" spans="1:1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</row>
    <row r="349" spans="1:1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</row>
    <row r="350" spans="1:1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</row>
    <row r="351" spans="1:1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</row>
    <row r="352" spans="1:1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</row>
    <row r="353" spans="1:1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</row>
    <row r="354" spans="1:1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</row>
    <row r="355" spans="1:1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</row>
    <row r="356" spans="1:1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</row>
    <row r="357" spans="1:1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</row>
    <row r="358" spans="1:1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</row>
    <row r="359" spans="1:1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</row>
    <row r="360" spans="1:1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</row>
    <row r="361" spans="1:1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</row>
    <row r="362" spans="1:1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</row>
    <row r="363" spans="1:1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</row>
    <row r="364" spans="1:1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</row>
    <row r="365" spans="1:1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</row>
    <row r="366" spans="1:1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</row>
    <row r="367" spans="1:1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</row>
    <row r="368" spans="1:1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</row>
    <row r="369" spans="1:1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</row>
    <row r="370" spans="1:1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</row>
    <row r="371" spans="1:1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</row>
    <row r="372" spans="1:1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</row>
    <row r="373" spans="1:1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</row>
    <row r="374" spans="1:1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</row>
    <row r="375" spans="1:1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</row>
    <row r="376" spans="1:1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</row>
    <row r="377" spans="1:1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76"/>
      <c r="K377" s="76"/>
    </row>
    <row r="378" spans="1:1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76"/>
      <c r="K378" s="76"/>
    </row>
    <row r="379" spans="1:1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76"/>
      <c r="K379" s="76"/>
    </row>
  </sheetData>
  <mergeCells count="1">
    <mergeCell ref="C2:E2"/>
  </mergeCells>
  <conditionalFormatting sqref="J6">
    <cfRule type="cellIs" dxfId="0" priority="5" operator="equal">
      <formula>105243</formula>
    </cfRule>
  </conditionalFormatting>
  <pageMargins left="0.7" right="0.7" top="0.75" bottom="0.75" header="0.3" footer="0.3"/>
  <pageSetup scale="77" fitToHeight="0" orientation="landscape" horizontalDpi="4294967292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27EA9-BA92-41F1-ACD6-ECE2BF3467EB}">
  <dimension ref="A1:J35"/>
  <sheetViews>
    <sheetView topLeftCell="B4" zoomScale="68" workbookViewId="0">
      <selection activeCell="I35" sqref="I35"/>
    </sheetView>
  </sheetViews>
  <sheetFormatPr baseColWidth="10" defaultColWidth="11.5546875" defaultRowHeight="15" x14ac:dyDescent="0.2"/>
  <cols>
    <col min="1" max="1" width="23.109375" bestFit="1" customWidth="1"/>
    <col min="2" max="2" width="16.6640625" bestFit="1" customWidth="1"/>
    <col min="3" max="3" width="18" customWidth="1"/>
    <col min="4" max="4" width="12.5546875" bestFit="1" customWidth="1"/>
    <col min="5" max="5" width="15.109375" customWidth="1"/>
    <col min="6" max="6" width="14" customWidth="1"/>
    <col min="7" max="7" width="30.44140625" customWidth="1"/>
    <col min="8" max="8" width="15.6640625" customWidth="1"/>
    <col min="9" max="9" width="13.6640625" customWidth="1"/>
    <col min="10" max="10" width="27.6640625" customWidth="1"/>
  </cols>
  <sheetData>
    <row r="1" spans="1:10" ht="21" x14ac:dyDescent="0.35">
      <c r="A1" s="214" t="s">
        <v>122</v>
      </c>
      <c r="B1" s="214"/>
      <c r="C1" s="214"/>
      <c r="D1" s="214"/>
      <c r="E1" s="214"/>
      <c r="F1" s="214"/>
      <c r="G1" s="214"/>
      <c r="H1" s="214"/>
      <c r="I1" s="214"/>
      <c r="J1" s="76"/>
    </row>
    <row r="2" spans="1:10" x14ac:dyDescent="0.2">
      <c r="A2" s="76"/>
      <c r="B2" s="76"/>
      <c r="C2" s="76"/>
      <c r="D2" s="76"/>
      <c r="E2" s="76"/>
      <c r="F2" s="76"/>
      <c r="G2" s="76"/>
      <c r="H2" s="76"/>
      <c r="I2" s="76"/>
      <c r="J2" s="76"/>
    </row>
    <row r="3" spans="1:10" x14ac:dyDescent="0.2">
      <c r="A3" s="73" t="s">
        <v>123</v>
      </c>
      <c r="B3" s="77"/>
      <c r="C3" s="100"/>
      <c r="D3" s="100"/>
      <c r="E3" s="100"/>
      <c r="F3" s="100"/>
      <c r="G3" s="100"/>
      <c r="H3" s="100"/>
      <c r="I3" s="76"/>
      <c r="J3" s="76"/>
    </row>
    <row r="4" spans="1:10" ht="30" x14ac:dyDescent="0.2">
      <c r="A4" s="74" t="s">
        <v>124</v>
      </c>
      <c r="B4" s="78" t="s">
        <v>125</v>
      </c>
      <c r="C4" s="78" t="s">
        <v>126</v>
      </c>
      <c r="D4" s="78" t="s">
        <v>127</v>
      </c>
      <c r="E4" s="78" t="s">
        <v>128</v>
      </c>
      <c r="F4" s="78" t="s">
        <v>129</v>
      </c>
      <c r="G4" s="78" t="s">
        <v>130</v>
      </c>
      <c r="H4" s="78" t="s">
        <v>131</v>
      </c>
      <c r="I4" s="74" t="s">
        <v>132</v>
      </c>
      <c r="J4" s="79" t="s">
        <v>133</v>
      </c>
    </row>
    <row r="5" spans="1:10" ht="15.75" x14ac:dyDescent="0.25">
      <c r="A5" s="218" t="s">
        <v>134</v>
      </c>
      <c r="B5" s="215" t="s">
        <v>66</v>
      </c>
      <c r="C5" s="216"/>
      <c r="D5" s="216"/>
      <c r="E5" s="216"/>
      <c r="F5" s="216"/>
      <c r="G5" s="216"/>
      <c r="H5" s="217"/>
      <c r="I5" s="75">
        <f>SUM(I6:I9)</f>
        <v>1080</v>
      </c>
      <c r="J5" s="80">
        <f>I5/12</f>
        <v>90</v>
      </c>
    </row>
    <row r="6" spans="1:10" x14ac:dyDescent="0.2">
      <c r="A6" s="218"/>
      <c r="B6" s="81" t="s">
        <v>135</v>
      </c>
      <c r="C6" s="81">
        <v>10</v>
      </c>
      <c r="D6" s="81">
        <v>10</v>
      </c>
      <c r="E6" s="81">
        <v>800</v>
      </c>
      <c r="F6" s="81">
        <f>E6/D6</f>
        <v>80</v>
      </c>
      <c r="G6" s="81">
        <f>(E6-F6)/D6</f>
        <v>72</v>
      </c>
      <c r="H6" s="81">
        <v>6</v>
      </c>
      <c r="I6" s="82">
        <f>G6*H6</f>
        <v>432</v>
      </c>
      <c r="J6" s="83"/>
    </row>
    <row r="7" spans="1:10" x14ac:dyDescent="0.2">
      <c r="A7" s="218"/>
      <c r="B7" s="81" t="s">
        <v>136</v>
      </c>
      <c r="C7" s="81">
        <v>10</v>
      </c>
      <c r="D7" s="81">
        <v>10</v>
      </c>
      <c r="E7" s="81">
        <v>1200</v>
      </c>
      <c r="F7" s="81">
        <f>E7/D7</f>
        <v>120</v>
      </c>
      <c r="G7" s="81">
        <f>(E7-F7)/D7</f>
        <v>108</v>
      </c>
      <c r="H7" s="81">
        <v>6</v>
      </c>
      <c r="I7" s="82">
        <f>G7*H7</f>
        <v>648</v>
      </c>
      <c r="J7" s="83"/>
    </row>
    <row r="8" spans="1:10" x14ac:dyDescent="0.2">
      <c r="A8" s="218"/>
      <c r="B8" s="81" t="s">
        <v>137</v>
      </c>
      <c r="C8" s="81">
        <v>10</v>
      </c>
      <c r="D8" s="81">
        <v>10</v>
      </c>
      <c r="E8" s="81">
        <v>1500</v>
      </c>
      <c r="F8" s="81">
        <f>E8/D8</f>
        <v>150</v>
      </c>
      <c r="G8" s="81">
        <f>(E8-F8)/D8</f>
        <v>135</v>
      </c>
      <c r="H8" s="81">
        <v>0</v>
      </c>
      <c r="I8" s="82">
        <f>G8*H8</f>
        <v>0</v>
      </c>
      <c r="J8" s="83"/>
    </row>
    <row r="9" spans="1:10" x14ac:dyDescent="0.2">
      <c r="A9" s="218"/>
      <c r="B9" s="84" t="s">
        <v>138</v>
      </c>
      <c r="C9" s="85">
        <v>10</v>
      </c>
      <c r="D9" s="81">
        <v>10</v>
      </c>
      <c r="E9" s="81">
        <v>2100</v>
      </c>
      <c r="F9" s="82">
        <f>E9/D9</f>
        <v>210</v>
      </c>
      <c r="G9" s="82">
        <f>(E9-F9)/D9</f>
        <v>189</v>
      </c>
      <c r="H9" s="81">
        <v>0</v>
      </c>
      <c r="I9" s="82">
        <f>G9*H9</f>
        <v>0</v>
      </c>
      <c r="J9" s="83"/>
    </row>
    <row r="10" spans="1:10" ht="15.75" x14ac:dyDescent="0.25">
      <c r="A10" s="218"/>
      <c r="B10" s="209" t="s">
        <v>71</v>
      </c>
      <c r="C10" s="210"/>
      <c r="D10" s="210"/>
      <c r="E10" s="210"/>
      <c r="F10" s="210"/>
      <c r="G10" s="210"/>
      <c r="H10" s="211"/>
      <c r="I10" s="86">
        <f>SUM(I11:I13)</f>
        <v>25555.555555555555</v>
      </c>
      <c r="J10" s="80">
        <f>I10/12</f>
        <v>2129.6296296296296</v>
      </c>
    </row>
    <row r="11" spans="1:10" x14ac:dyDescent="0.2">
      <c r="A11" s="218"/>
      <c r="B11" s="81" t="s">
        <v>139</v>
      </c>
      <c r="C11" s="81">
        <v>30</v>
      </c>
      <c r="D11" s="81">
        <v>3</v>
      </c>
      <c r="E11" s="81">
        <v>15000</v>
      </c>
      <c r="F11" s="87">
        <f>E11/D11</f>
        <v>5000</v>
      </c>
      <c r="G11" s="87">
        <f>(E11-F11)/D11</f>
        <v>3333.3333333333335</v>
      </c>
      <c r="H11" s="81">
        <v>6</v>
      </c>
      <c r="I11" s="82">
        <f>G11*H11</f>
        <v>20000</v>
      </c>
      <c r="J11" s="83"/>
    </row>
    <row r="12" spans="1:10" x14ac:dyDescent="0.2">
      <c r="A12" s="218"/>
      <c r="B12" s="81" t="s">
        <v>140</v>
      </c>
      <c r="C12" s="81">
        <v>30</v>
      </c>
      <c r="D12" s="81">
        <v>3</v>
      </c>
      <c r="E12" s="81">
        <v>5000</v>
      </c>
      <c r="F12" s="88">
        <f>E12/D12</f>
        <v>1666.6666666666667</v>
      </c>
      <c r="G12" s="88">
        <f>(E12-F12)/D12</f>
        <v>1111.1111111111111</v>
      </c>
      <c r="H12" s="81">
        <v>0</v>
      </c>
      <c r="I12" s="82">
        <f>G12*H12</f>
        <v>0</v>
      </c>
      <c r="J12" s="83"/>
    </row>
    <row r="13" spans="1:10" x14ac:dyDescent="0.2">
      <c r="A13" s="218"/>
      <c r="B13" s="89" t="s">
        <v>141</v>
      </c>
      <c r="C13" s="81">
        <v>30</v>
      </c>
      <c r="D13" s="81">
        <v>3</v>
      </c>
      <c r="E13" s="81">
        <v>25000</v>
      </c>
      <c r="F13" s="87">
        <f>E13/D13</f>
        <v>8333.3333333333339</v>
      </c>
      <c r="G13" s="87">
        <f>(E13-F13)/D13</f>
        <v>5555.5555555555547</v>
      </c>
      <c r="H13" s="81">
        <v>1</v>
      </c>
      <c r="I13" s="88">
        <f>G13*H13</f>
        <v>5555.5555555555547</v>
      </c>
      <c r="J13" s="83"/>
    </row>
    <row r="14" spans="1:10" ht="15.75" x14ac:dyDescent="0.25">
      <c r="A14" s="90"/>
      <c r="B14" s="212" t="s">
        <v>142</v>
      </c>
      <c r="C14" s="212"/>
      <c r="D14" s="212"/>
      <c r="E14" s="212"/>
      <c r="F14" s="212"/>
      <c r="G14" s="212"/>
      <c r="H14" s="212"/>
      <c r="I14" s="91">
        <f>I10+I5</f>
        <v>26635.555555555555</v>
      </c>
      <c r="J14" s="92">
        <f>I14/12</f>
        <v>2219.6296296296296</v>
      </c>
    </row>
    <row r="15" spans="1:10" ht="15.75" x14ac:dyDescent="0.25">
      <c r="A15" s="218" t="s">
        <v>143</v>
      </c>
      <c r="B15" s="215" t="s">
        <v>66</v>
      </c>
      <c r="C15" s="216"/>
      <c r="D15" s="216"/>
      <c r="E15" s="216"/>
      <c r="F15" s="216"/>
      <c r="G15" s="216"/>
      <c r="H15" s="217"/>
      <c r="I15" s="75">
        <f>SUM(I16:I19)</f>
        <v>360</v>
      </c>
      <c r="J15" s="80">
        <f>I15/12</f>
        <v>30</v>
      </c>
    </row>
    <row r="16" spans="1:10" x14ac:dyDescent="0.2">
      <c r="A16" s="218"/>
      <c r="B16" s="81" t="s">
        <v>135</v>
      </c>
      <c r="C16" s="81">
        <v>10</v>
      </c>
      <c r="D16" s="81">
        <v>10</v>
      </c>
      <c r="E16" s="81">
        <v>800</v>
      </c>
      <c r="F16" s="81">
        <f>E16/D16</f>
        <v>80</v>
      </c>
      <c r="G16" s="81">
        <f>(E16-F16)/D16</f>
        <v>72</v>
      </c>
      <c r="H16" s="81">
        <v>2</v>
      </c>
      <c r="I16" s="82">
        <f>G16*H16</f>
        <v>144</v>
      </c>
      <c r="J16" s="83"/>
    </row>
    <row r="17" spans="1:10" x14ac:dyDescent="0.2">
      <c r="A17" s="218"/>
      <c r="B17" s="81" t="s">
        <v>136</v>
      </c>
      <c r="C17" s="81">
        <v>10</v>
      </c>
      <c r="D17" s="81">
        <v>10</v>
      </c>
      <c r="E17" s="81">
        <v>1200</v>
      </c>
      <c r="F17" s="81">
        <f>E17/D17</f>
        <v>120</v>
      </c>
      <c r="G17" s="81">
        <f>(E17-F17)/D17</f>
        <v>108</v>
      </c>
      <c r="H17" s="81">
        <v>2</v>
      </c>
      <c r="I17" s="82">
        <f>G17*H17</f>
        <v>216</v>
      </c>
      <c r="J17" s="83"/>
    </row>
    <row r="18" spans="1:10" x14ac:dyDescent="0.2">
      <c r="A18" s="218"/>
      <c r="B18" s="81" t="s">
        <v>137</v>
      </c>
      <c r="C18" s="81">
        <v>10</v>
      </c>
      <c r="D18" s="81">
        <v>10</v>
      </c>
      <c r="E18" s="81">
        <v>1500</v>
      </c>
      <c r="F18" s="81">
        <f>E18/D18</f>
        <v>150</v>
      </c>
      <c r="G18" s="81">
        <f>(E18-F18)/D18</f>
        <v>135</v>
      </c>
      <c r="H18" s="81">
        <v>0</v>
      </c>
      <c r="I18" s="82">
        <f>G18*H18</f>
        <v>0</v>
      </c>
      <c r="J18" s="83"/>
    </row>
    <row r="19" spans="1:10" x14ac:dyDescent="0.2">
      <c r="A19" s="218"/>
      <c r="B19" s="84" t="s">
        <v>138</v>
      </c>
      <c r="C19" s="85">
        <v>10</v>
      </c>
      <c r="D19" s="81">
        <v>10</v>
      </c>
      <c r="E19" s="82">
        <v>2100</v>
      </c>
      <c r="F19" s="82">
        <f>E19/D19</f>
        <v>210</v>
      </c>
      <c r="G19" s="82">
        <f>(E19-F19)/D19</f>
        <v>189</v>
      </c>
      <c r="H19" s="81">
        <v>0</v>
      </c>
      <c r="I19" s="82">
        <f>G19*H19</f>
        <v>0</v>
      </c>
      <c r="J19" s="83"/>
    </row>
    <row r="20" spans="1:10" ht="15.75" x14ac:dyDescent="0.25">
      <c r="A20" s="218"/>
      <c r="B20" s="209" t="s">
        <v>71</v>
      </c>
      <c r="C20" s="210"/>
      <c r="D20" s="210"/>
      <c r="E20" s="210"/>
      <c r="F20" s="210"/>
      <c r="G20" s="210"/>
      <c r="H20" s="211"/>
      <c r="I20" s="86">
        <f>SUM(I21:I23)</f>
        <v>6562.5</v>
      </c>
      <c r="J20" s="80">
        <f>I20/12</f>
        <v>546.875</v>
      </c>
    </row>
    <row r="21" spans="1:10" x14ac:dyDescent="0.2">
      <c r="A21" s="218"/>
      <c r="B21" s="81" t="s">
        <v>139</v>
      </c>
      <c r="C21" s="81">
        <v>30</v>
      </c>
      <c r="D21" s="81">
        <v>4</v>
      </c>
      <c r="E21" s="81">
        <v>15000</v>
      </c>
      <c r="F21" s="88">
        <f>E21/D21</f>
        <v>3750</v>
      </c>
      <c r="G21" s="88">
        <f>(E21-F21)/D21</f>
        <v>2812.5</v>
      </c>
      <c r="H21" s="81">
        <v>2</v>
      </c>
      <c r="I21" s="88">
        <f>G21*H21</f>
        <v>5625</v>
      </c>
      <c r="J21" s="83"/>
    </row>
    <row r="22" spans="1:10" x14ac:dyDescent="0.2">
      <c r="A22" s="218"/>
      <c r="B22" s="81" t="s">
        <v>140</v>
      </c>
      <c r="C22" s="81">
        <v>30</v>
      </c>
      <c r="D22" s="81">
        <v>4</v>
      </c>
      <c r="E22" s="81">
        <v>5000</v>
      </c>
      <c r="F22" s="88">
        <f>E22/D22</f>
        <v>1250</v>
      </c>
      <c r="G22" s="88">
        <f>(E22-F22)/D22</f>
        <v>937.5</v>
      </c>
      <c r="H22" s="81">
        <v>1</v>
      </c>
      <c r="I22" s="88">
        <f>G22*H22</f>
        <v>937.5</v>
      </c>
      <c r="J22" s="83"/>
    </row>
    <row r="23" spans="1:10" x14ac:dyDescent="0.2">
      <c r="A23" s="218"/>
      <c r="B23" s="89" t="s">
        <v>141</v>
      </c>
      <c r="C23" s="81">
        <v>30</v>
      </c>
      <c r="D23" s="81">
        <v>4</v>
      </c>
      <c r="E23" s="81">
        <v>25000</v>
      </c>
      <c r="F23" s="88">
        <f>E23/D23</f>
        <v>6250</v>
      </c>
      <c r="G23" s="88">
        <f>(E23-F23)/D23</f>
        <v>4687.5</v>
      </c>
      <c r="H23" s="81">
        <v>0</v>
      </c>
      <c r="I23" s="93">
        <f>G23*H23</f>
        <v>0</v>
      </c>
      <c r="J23" s="83"/>
    </row>
    <row r="24" spans="1:10" ht="15.75" x14ac:dyDescent="0.25">
      <c r="A24" s="90"/>
      <c r="B24" s="212" t="s">
        <v>144</v>
      </c>
      <c r="C24" s="212"/>
      <c r="D24" s="212"/>
      <c r="E24" s="212"/>
      <c r="F24" s="212"/>
      <c r="G24" s="212"/>
      <c r="H24" s="212"/>
      <c r="I24" s="94">
        <f>I20+I15</f>
        <v>6922.5</v>
      </c>
      <c r="J24" s="92">
        <f>I24/12</f>
        <v>576.875</v>
      </c>
    </row>
    <row r="25" spans="1:10" ht="15.75" x14ac:dyDescent="0.25">
      <c r="A25" s="218" t="s">
        <v>145</v>
      </c>
      <c r="B25" s="215" t="s">
        <v>66</v>
      </c>
      <c r="C25" s="216"/>
      <c r="D25" s="216"/>
      <c r="E25" s="216"/>
      <c r="F25" s="216"/>
      <c r="G25" s="216"/>
      <c r="H25" s="217"/>
      <c r="I25" s="75">
        <f>+I26+I27+I28+I29</f>
        <v>1224</v>
      </c>
      <c r="J25" s="80">
        <f>I25/12</f>
        <v>102</v>
      </c>
    </row>
    <row r="26" spans="1:10" x14ac:dyDescent="0.2">
      <c r="A26" s="218"/>
      <c r="B26" s="81" t="s">
        <v>135</v>
      </c>
      <c r="C26" s="81">
        <v>10</v>
      </c>
      <c r="D26" s="81">
        <v>10</v>
      </c>
      <c r="E26" s="81">
        <v>800</v>
      </c>
      <c r="F26" s="81">
        <f>E26/D26</f>
        <v>80</v>
      </c>
      <c r="G26" s="81">
        <f>(E26-F26)/D26</f>
        <v>72</v>
      </c>
      <c r="H26" s="81">
        <v>5</v>
      </c>
      <c r="I26" s="82">
        <f>G26*H26</f>
        <v>360</v>
      </c>
      <c r="J26" s="83"/>
    </row>
    <row r="27" spans="1:10" x14ac:dyDescent="0.2">
      <c r="A27" s="218"/>
      <c r="B27" s="81" t="s">
        <v>136</v>
      </c>
      <c r="C27" s="81">
        <v>10</v>
      </c>
      <c r="D27" s="81">
        <v>10</v>
      </c>
      <c r="E27" s="81">
        <v>1200</v>
      </c>
      <c r="F27" s="81">
        <f>E27/D27</f>
        <v>120</v>
      </c>
      <c r="G27" s="81">
        <f>(E27-F27)/D27</f>
        <v>108</v>
      </c>
      <c r="H27" s="81">
        <v>5</v>
      </c>
      <c r="I27" s="82">
        <f>G27*H27</f>
        <v>540</v>
      </c>
      <c r="J27" s="83"/>
    </row>
    <row r="28" spans="1:10" x14ac:dyDescent="0.2">
      <c r="A28" s="218"/>
      <c r="B28" s="81" t="s">
        <v>137</v>
      </c>
      <c r="C28" s="81">
        <v>10</v>
      </c>
      <c r="D28" s="81">
        <v>10</v>
      </c>
      <c r="E28" s="81">
        <v>1500</v>
      </c>
      <c r="F28" s="81">
        <f>E28/D28</f>
        <v>150</v>
      </c>
      <c r="G28" s="81">
        <f>(E28-F28)/D28</f>
        <v>135</v>
      </c>
      <c r="H28" s="81">
        <v>1</v>
      </c>
      <c r="I28" s="82">
        <f>G28*H28</f>
        <v>135</v>
      </c>
      <c r="J28" s="83"/>
    </row>
    <row r="29" spans="1:10" x14ac:dyDescent="0.2">
      <c r="A29" s="218"/>
      <c r="B29" s="84" t="s">
        <v>138</v>
      </c>
      <c r="C29" s="85">
        <v>10</v>
      </c>
      <c r="D29" s="81">
        <v>10</v>
      </c>
      <c r="E29" s="82">
        <v>2100</v>
      </c>
      <c r="F29" s="82">
        <f>E29/D29</f>
        <v>210</v>
      </c>
      <c r="G29" s="82">
        <f>(E29-F29)/D29</f>
        <v>189</v>
      </c>
      <c r="H29" s="81">
        <v>1</v>
      </c>
      <c r="I29" s="82">
        <f>G29*H29</f>
        <v>189</v>
      </c>
      <c r="J29" s="83"/>
    </row>
    <row r="30" spans="1:10" ht="15.75" x14ac:dyDescent="0.25">
      <c r="A30" s="218"/>
      <c r="B30" s="209" t="s">
        <v>71</v>
      </c>
      <c r="C30" s="210"/>
      <c r="D30" s="210"/>
      <c r="E30" s="210"/>
      <c r="F30" s="210"/>
      <c r="G30" s="210"/>
      <c r="H30" s="211"/>
      <c r="I30" s="86">
        <f>+I31+I32+I33</f>
        <v>15173.611111111111</v>
      </c>
      <c r="J30" s="80">
        <f>I30/12</f>
        <v>1264.4675925925926</v>
      </c>
    </row>
    <row r="31" spans="1:10" x14ac:dyDescent="0.2">
      <c r="A31" s="218"/>
      <c r="B31" s="81" t="s">
        <v>139</v>
      </c>
      <c r="C31" s="81">
        <v>30</v>
      </c>
      <c r="D31" s="81">
        <v>4</v>
      </c>
      <c r="E31" s="81">
        <v>15000</v>
      </c>
      <c r="F31" s="88">
        <f>E31/D31</f>
        <v>3750</v>
      </c>
      <c r="G31" s="88">
        <f>(E31-F31)/D31</f>
        <v>2812.5</v>
      </c>
      <c r="H31" s="81">
        <v>5</v>
      </c>
      <c r="I31" s="88">
        <f>G31*H31</f>
        <v>14062.5</v>
      </c>
      <c r="J31" s="83"/>
    </row>
    <row r="32" spans="1:10" x14ac:dyDescent="0.2">
      <c r="A32" s="218"/>
      <c r="B32" s="81" t="s">
        <v>140</v>
      </c>
      <c r="C32" s="81">
        <v>30</v>
      </c>
      <c r="D32" s="81">
        <v>3</v>
      </c>
      <c r="E32" s="81">
        <v>5000</v>
      </c>
      <c r="F32" s="88">
        <f>E32/D32</f>
        <v>1666.6666666666667</v>
      </c>
      <c r="G32" s="88">
        <f>(E32-F32)/D32</f>
        <v>1111.1111111111111</v>
      </c>
      <c r="H32" s="81">
        <v>1</v>
      </c>
      <c r="I32" s="88">
        <f>G32*H32</f>
        <v>1111.1111111111111</v>
      </c>
      <c r="J32" s="83"/>
    </row>
    <row r="33" spans="1:10" x14ac:dyDescent="0.2">
      <c r="A33" s="218"/>
      <c r="B33" s="89" t="s">
        <v>141</v>
      </c>
      <c r="C33" s="81">
        <v>30</v>
      </c>
      <c r="D33" s="81">
        <v>3</v>
      </c>
      <c r="E33" s="81">
        <v>25000</v>
      </c>
      <c r="F33" s="88">
        <f>E33/D33</f>
        <v>8333.3333333333339</v>
      </c>
      <c r="G33" s="88">
        <f>(E33-F33)/D33</f>
        <v>5555.5555555555547</v>
      </c>
      <c r="H33" s="81">
        <v>0</v>
      </c>
      <c r="I33" s="88">
        <f>G33*H33</f>
        <v>0</v>
      </c>
      <c r="J33" s="83"/>
    </row>
    <row r="34" spans="1:10" ht="15.75" x14ac:dyDescent="0.25">
      <c r="A34" s="90"/>
      <c r="B34" s="212" t="s">
        <v>146</v>
      </c>
      <c r="C34" s="212"/>
      <c r="D34" s="212"/>
      <c r="E34" s="212"/>
      <c r="F34" s="212"/>
      <c r="G34" s="212"/>
      <c r="H34" s="212"/>
      <c r="I34" s="95">
        <f>I30+I25</f>
        <v>16397.611111111109</v>
      </c>
      <c r="J34" s="96">
        <f>I34/12</f>
        <v>1366.4675925925924</v>
      </c>
    </row>
    <row r="35" spans="1:10" ht="15.75" x14ac:dyDescent="0.2">
      <c r="A35" s="73" t="s">
        <v>147</v>
      </c>
      <c r="B35" s="77" t="s">
        <v>148</v>
      </c>
      <c r="C35" s="77"/>
      <c r="D35" s="77"/>
      <c r="E35" s="77"/>
      <c r="F35" s="213" t="s">
        <v>149</v>
      </c>
      <c r="G35" s="213"/>
      <c r="H35" s="213"/>
      <c r="I35" s="97">
        <f>I34+I24+I14</f>
        <v>49955.666666666664</v>
      </c>
      <c r="J35" s="98">
        <f>I35/12</f>
        <v>4162.9722222222217</v>
      </c>
    </row>
  </sheetData>
  <mergeCells count="14">
    <mergeCell ref="B30:H30"/>
    <mergeCell ref="B34:H34"/>
    <mergeCell ref="F35:H35"/>
    <mergeCell ref="A1:I1"/>
    <mergeCell ref="B5:H5"/>
    <mergeCell ref="B14:H14"/>
    <mergeCell ref="A5:A13"/>
    <mergeCell ref="B10:H10"/>
    <mergeCell ref="A15:A23"/>
    <mergeCell ref="B15:H15"/>
    <mergeCell ref="B20:H20"/>
    <mergeCell ref="A25:A33"/>
    <mergeCell ref="B24:H24"/>
    <mergeCell ref="B25:H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77C93-C58D-44FA-ACFB-2F72369C448F}">
  <dimension ref="A1:AW58"/>
  <sheetViews>
    <sheetView tabSelected="1" topLeftCell="A18" workbookViewId="0">
      <selection activeCell="R35" sqref="R35:Y35"/>
    </sheetView>
  </sheetViews>
  <sheetFormatPr baseColWidth="10" defaultColWidth="8.88671875" defaultRowHeight="15" x14ac:dyDescent="0.2"/>
  <cols>
    <col min="1" max="1" width="39.21875" bestFit="1" customWidth="1"/>
    <col min="2" max="2" width="11.21875" bestFit="1" customWidth="1"/>
    <col min="3" max="3" width="12.33203125" bestFit="1" customWidth="1"/>
    <col min="4" max="4" width="11.21875" bestFit="1" customWidth="1"/>
    <col min="5" max="5" width="12.33203125" bestFit="1" customWidth="1"/>
    <col min="6" max="6" width="11.21875" bestFit="1" customWidth="1"/>
    <col min="7" max="8" width="12.33203125" bestFit="1" customWidth="1"/>
    <col min="9" max="9" width="14" bestFit="1" customWidth="1"/>
    <col min="10" max="10" width="11.21875" bestFit="1" customWidth="1"/>
    <col min="11" max="11" width="12.33203125" bestFit="1" customWidth="1"/>
    <col min="12" max="12" width="11.21875" bestFit="1" customWidth="1"/>
    <col min="13" max="13" width="12.33203125" bestFit="1" customWidth="1"/>
    <col min="14" max="14" width="11.21875" bestFit="1" customWidth="1"/>
    <col min="15" max="16" width="12.33203125" bestFit="1" customWidth="1"/>
    <col min="17" max="17" width="14" bestFit="1" customWidth="1"/>
    <col min="18" max="18" width="11.21875" bestFit="1" customWidth="1"/>
    <col min="19" max="19" width="12.33203125" bestFit="1" customWidth="1"/>
    <col min="20" max="20" width="11.21875" bestFit="1" customWidth="1"/>
    <col min="21" max="21" width="12.33203125" bestFit="1" customWidth="1"/>
    <col min="22" max="22" width="11.21875" bestFit="1" customWidth="1"/>
    <col min="23" max="24" width="12.33203125" bestFit="1" customWidth="1"/>
    <col min="25" max="25" width="14" bestFit="1" customWidth="1"/>
    <col min="26" max="26" width="11.21875" bestFit="1" customWidth="1"/>
    <col min="27" max="27" width="12.33203125" bestFit="1" customWidth="1"/>
    <col min="28" max="28" width="11.21875" bestFit="1" customWidth="1"/>
    <col min="29" max="29" width="12.33203125" bestFit="1" customWidth="1"/>
    <col min="30" max="30" width="11.21875" bestFit="1" customWidth="1"/>
    <col min="31" max="31" width="14" bestFit="1" customWidth="1"/>
    <col min="32" max="32" width="12.33203125" bestFit="1" customWidth="1"/>
    <col min="33" max="33" width="14" bestFit="1" customWidth="1"/>
    <col min="34" max="34" width="11.21875" bestFit="1" customWidth="1"/>
    <col min="35" max="35" width="12.33203125" bestFit="1" customWidth="1"/>
    <col min="36" max="36" width="11.21875" bestFit="1" customWidth="1"/>
    <col min="37" max="37" width="12.33203125" bestFit="1" customWidth="1"/>
    <col min="38" max="38" width="11.21875" bestFit="1" customWidth="1"/>
    <col min="39" max="39" width="14" bestFit="1" customWidth="1"/>
    <col min="40" max="40" width="12.33203125" bestFit="1" customWidth="1"/>
    <col min="41" max="41" width="14" bestFit="1" customWidth="1"/>
    <col min="42" max="42" width="11.21875" bestFit="1" customWidth="1"/>
    <col min="43" max="43" width="12.33203125" bestFit="1" customWidth="1"/>
    <col min="44" max="44" width="11.21875" bestFit="1" customWidth="1"/>
    <col min="45" max="45" width="12.33203125" bestFit="1" customWidth="1"/>
    <col min="46" max="46" width="11.21875" bestFit="1" customWidth="1"/>
    <col min="47" max="47" width="14" bestFit="1" customWidth="1"/>
    <col min="48" max="48" width="12.33203125" bestFit="1" customWidth="1"/>
    <col min="49" max="49" width="14" bestFit="1" customWidth="1"/>
  </cols>
  <sheetData>
    <row r="1" spans="1:49" ht="15.75" x14ac:dyDescent="0.25">
      <c r="A1" s="76"/>
      <c r="B1" s="101"/>
      <c r="C1" s="76"/>
      <c r="D1" s="76"/>
      <c r="E1" s="76"/>
      <c r="F1" s="150" t="s">
        <v>150</v>
      </c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</row>
    <row r="2" spans="1:49" ht="15.75" customHeight="1" x14ac:dyDescent="0.25">
      <c r="A2" s="242" t="s">
        <v>151</v>
      </c>
      <c r="B2" s="242"/>
      <c r="C2" s="242"/>
      <c r="D2" s="151">
        <v>3.5000000000000003E-2</v>
      </c>
      <c r="E2" s="76"/>
      <c r="F2" s="152">
        <v>70</v>
      </c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</row>
    <row r="3" spans="1:49" x14ac:dyDescent="0.2">
      <c r="A3" s="76"/>
      <c r="B3" s="101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</row>
    <row r="4" spans="1:49" ht="18.75" x14ac:dyDescent="0.3">
      <c r="A4" s="243" t="s">
        <v>152</v>
      </c>
      <c r="B4" s="243"/>
      <c r="C4" s="243"/>
      <c r="D4" s="243"/>
      <c r="E4" s="243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</row>
    <row r="5" spans="1:49" ht="18.75" x14ac:dyDescent="0.3">
      <c r="A5" s="247" t="s">
        <v>153</v>
      </c>
      <c r="B5" s="244">
        <v>2020</v>
      </c>
      <c r="C5" s="245"/>
      <c r="D5" s="153">
        <v>2021</v>
      </c>
      <c r="E5" s="154"/>
      <c r="F5" s="155">
        <v>2022</v>
      </c>
      <c r="G5" s="156"/>
      <c r="H5" s="244">
        <v>2023</v>
      </c>
      <c r="I5" s="245"/>
      <c r="J5" s="244">
        <v>2024</v>
      </c>
      <c r="K5" s="246"/>
      <c r="L5" s="244">
        <v>2025</v>
      </c>
      <c r="M5" s="24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</row>
    <row r="6" spans="1:49" ht="18.75" customHeight="1" x14ac:dyDescent="0.2">
      <c r="A6" s="248"/>
      <c r="B6" s="157" t="s">
        <v>154</v>
      </c>
      <c r="C6" s="158"/>
      <c r="D6" s="159" t="s">
        <v>155</v>
      </c>
      <c r="E6" s="160"/>
      <c r="F6" s="159" t="s">
        <v>155</v>
      </c>
      <c r="G6" s="160"/>
      <c r="H6" s="250" t="s">
        <v>155</v>
      </c>
      <c r="I6" s="251"/>
      <c r="J6" s="250" t="s">
        <v>155</v>
      </c>
      <c r="K6" s="251"/>
      <c r="L6" s="250" t="s">
        <v>155</v>
      </c>
      <c r="M6" s="251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</row>
    <row r="7" spans="1:49" ht="15.75" customHeight="1" x14ac:dyDescent="0.25">
      <c r="A7" s="249"/>
      <c r="B7" s="102" t="s">
        <v>156</v>
      </c>
      <c r="C7" s="161" t="s">
        <v>143</v>
      </c>
      <c r="D7" s="102" t="s">
        <v>156</v>
      </c>
      <c r="E7" s="103" t="s">
        <v>143</v>
      </c>
      <c r="F7" s="102" t="s">
        <v>156</v>
      </c>
      <c r="G7" s="161" t="s">
        <v>143</v>
      </c>
      <c r="H7" s="102" t="s">
        <v>156</v>
      </c>
      <c r="I7" s="103" t="s">
        <v>143</v>
      </c>
      <c r="J7" s="102" t="s">
        <v>156</v>
      </c>
      <c r="K7" s="103" t="s">
        <v>143</v>
      </c>
      <c r="L7" s="102" t="s">
        <v>156</v>
      </c>
      <c r="M7" s="103" t="s">
        <v>143</v>
      </c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</row>
    <row r="8" spans="1:49" ht="15.75" x14ac:dyDescent="0.25">
      <c r="A8" s="104" t="s">
        <v>157</v>
      </c>
      <c r="B8" s="139">
        <v>0</v>
      </c>
      <c r="C8" s="140">
        <f>F2*0.3</f>
        <v>21</v>
      </c>
      <c r="D8" s="138">
        <v>0</v>
      </c>
      <c r="E8" s="140">
        <f>$F$2*(($D$2*(D5-2020))+0.3)</f>
        <v>23.449999999999996</v>
      </c>
      <c r="F8" s="162">
        <v>0</v>
      </c>
      <c r="G8" s="140">
        <f>$F$2*(($D$2*(F5-2020))+0.3)</f>
        <v>25.9</v>
      </c>
      <c r="H8" s="162">
        <v>0</v>
      </c>
      <c r="I8" s="140">
        <f>$F$2*(($D$2*(H5-2020))+0.3)</f>
        <v>28.35</v>
      </c>
      <c r="J8" s="162">
        <v>0</v>
      </c>
      <c r="K8" s="140">
        <f>$F$2*(($D$2*(J5-2020))+0.3)</f>
        <v>30.8</v>
      </c>
      <c r="L8" s="141">
        <v>0</v>
      </c>
      <c r="M8" s="140">
        <f>$F$2*(($D$2*(L5-2020))+0.3)</f>
        <v>33.25</v>
      </c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</row>
    <row r="9" spans="1:49" ht="15.75" x14ac:dyDescent="0.25">
      <c r="A9" s="107" t="s">
        <v>158</v>
      </c>
      <c r="B9" s="139">
        <v>0</v>
      </c>
      <c r="C9" s="140">
        <f>C8</f>
        <v>21</v>
      </c>
      <c r="D9" s="139">
        <v>0</v>
      </c>
      <c r="E9" s="140">
        <f>E8</f>
        <v>23.449999999999996</v>
      </c>
      <c r="F9" s="139">
        <v>0</v>
      </c>
      <c r="G9" s="140">
        <f>G8</f>
        <v>25.9</v>
      </c>
      <c r="H9" s="139">
        <v>0</v>
      </c>
      <c r="I9" s="140">
        <f>I8</f>
        <v>28.35</v>
      </c>
      <c r="J9" s="139">
        <v>0</v>
      </c>
      <c r="K9" s="140">
        <f>K8</f>
        <v>30.8</v>
      </c>
      <c r="L9" s="141">
        <v>0</v>
      </c>
      <c r="M9" s="140">
        <f>M8</f>
        <v>33.25</v>
      </c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</row>
    <row r="10" spans="1:49" x14ac:dyDescent="0.2">
      <c r="A10" s="106" t="s">
        <v>159</v>
      </c>
      <c r="B10" s="235">
        <f>B9+C9</f>
        <v>21</v>
      </c>
      <c r="C10" s="236"/>
      <c r="D10" s="235">
        <f t="shared" ref="D10" si="0">D9+E9</f>
        <v>23.449999999999996</v>
      </c>
      <c r="E10" s="236"/>
      <c r="F10" s="235">
        <f t="shared" ref="F10" si="1">F9+G9</f>
        <v>25.9</v>
      </c>
      <c r="G10" s="236"/>
      <c r="H10" s="235">
        <f t="shared" ref="H10" si="2">H9+I9</f>
        <v>28.35</v>
      </c>
      <c r="I10" s="236"/>
      <c r="J10" s="235">
        <f t="shared" ref="J10" si="3">J9+K9</f>
        <v>30.8</v>
      </c>
      <c r="K10" s="236"/>
      <c r="L10" s="235">
        <f t="shared" ref="L10" si="4">L9+M9</f>
        <v>33.25</v>
      </c>
      <c r="M10" s="23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</row>
    <row r="11" spans="1:49" x14ac:dyDescent="0.2">
      <c r="A11" s="106" t="s">
        <v>160</v>
      </c>
      <c r="B11" s="235">
        <v>5000</v>
      </c>
      <c r="C11" s="236"/>
      <c r="D11" s="235">
        <v>5500</v>
      </c>
      <c r="E11" s="236"/>
      <c r="F11" s="235">
        <v>6600</v>
      </c>
      <c r="G11" s="236"/>
      <c r="H11" s="235">
        <v>8580</v>
      </c>
      <c r="I11" s="236"/>
      <c r="J11" s="235">
        <v>12012</v>
      </c>
      <c r="K11" s="236"/>
      <c r="L11" s="235">
        <v>18018</v>
      </c>
      <c r="M11" s="23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</row>
    <row r="12" spans="1:49" x14ac:dyDescent="0.2">
      <c r="A12" s="108" t="s">
        <v>161</v>
      </c>
      <c r="B12" s="233">
        <f>B11*B10</f>
        <v>105000</v>
      </c>
      <c r="C12" s="234"/>
      <c r="D12" s="233">
        <f t="shared" ref="D12" si="5">D11*D10</f>
        <v>128974.99999999997</v>
      </c>
      <c r="E12" s="234"/>
      <c r="F12" s="233">
        <f t="shared" ref="F12" si="6">F11*F10</f>
        <v>170940</v>
      </c>
      <c r="G12" s="234"/>
      <c r="H12" s="233">
        <f t="shared" ref="H12" si="7">H11*H10</f>
        <v>243243</v>
      </c>
      <c r="I12" s="234"/>
      <c r="J12" s="233">
        <f t="shared" ref="J12" si="8">J11*J10</f>
        <v>369969.60000000003</v>
      </c>
      <c r="K12" s="234"/>
      <c r="L12" s="233">
        <f t="shared" ref="L12" si="9">L11*L10</f>
        <v>599098.5</v>
      </c>
      <c r="M12" s="234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</row>
    <row r="13" spans="1:49" x14ac:dyDescent="0.2">
      <c r="A13" s="76"/>
      <c r="B13" s="163"/>
      <c r="C13" s="164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</row>
    <row r="14" spans="1:49" x14ac:dyDescent="0.2">
      <c r="A14" s="76"/>
      <c r="B14" s="101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</row>
    <row r="15" spans="1:49" x14ac:dyDescent="0.2">
      <c r="A15" s="76"/>
      <c r="B15" s="101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</row>
    <row r="16" spans="1:49" x14ac:dyDescent="0.2">
      <c r="A16" s="76"/>
      <c r="B16" s="101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  <c r="AW16" s="76"/>
    </row>
    <row r="17" spans="1:49" ht="19.5" thickBot="1" x14ac:dyDescent="0.35">
      <c r="A17" s="252" t="s">
        <v>162</v>
      </c>
      <c r="B17" s="252"/>
      <c r="C17" s="252"/>
      <c r="D17" s="252"/>
      <c r="E17" s="252"/>
      <c r="F17" s="252"/>
      <c r="G17" s="252"/>
      <c r="H17" s="252"/>
      <c r="I17" s="252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</row>
    <row r="18" spans="1:49" ht="20.25" thickTop="1" thickBot="1" x14ac:dyDescent="0.35">
      <c r="A18" s="148"/>
      <c r="B18" s="219">
        <v>2020</v>
      </c>
      <c r="C18" s="220"/>
      <c r="D18" s="220"/>
      <c r="E18" s="220"/>
      <c r="F18" s="220"/>
      <c r="G18" s="220"/>
      <c r="H18" s="220"/>
      <c r="I18" s="253"/>
      <c r="J18" s="219">
        <v>2021</v>
      </c>
      <c r="K18" s="220"/>
      <c r="L18" s="220"/>
      <c r="M18" s="220"/>
      <c r="N18" s="220"/>
      <c r="O18" s="220"/>
      <c r="P18" s="220"/>
      <c r="Q18" s="221"/>
      <c r="R18" s="239">
        <v>2022</v>
      </c>
      <c r="S18" s="240"/>
      <c r="T18" s="240"/>
      <c r="U18" s="240"/>
      <c r="V18" s="240"/>
      <c r="W18" s="240"/>
      <c r="X18" s="240"/>
      <c r="Y18" s="241"/>
      <c r="Z18" s="219">
        <v>2023</v>
      </c>
      <c r="AA18" s="220"/>
      <c r="AB18" s="220"/>
      <c r="AC18" s="220"/>
      <c r="AD18" s="220"/>
      <c r="AE18" s="220"/>
      <c r="AF18" s="220"/>
      <c r="AG18" s="221"/>
      <c r="AH18" s="219">
        <v>2024</v>
      </c>
      <c r="AI18" s="220"/>
      <c r="AJ18" s="220"/>
      <c r="AK18" s="220"/>
      <c r="AL18" s="220"/>
      <c r="AM18" s="220"/>
      <c r="AN18" s="220"/>
      <c r="AO18" s="221"/>
      <c r="AP18" s="219">
        <v>2025</v>
      </c>
      <c r="AQ18" s="220"/>
      <c r="AR18" s="220"/>
      <c r="AS18" s="220"/>
      <c r="AT18" s="220"/>
      <c r="AU18" s="220"/>
      <c r="AV18" s="220"/>
      <c r="AW18" s="221"/>
    </row>
    <row r="19" spans="1:49" ht="16.5" customHeight="1" thickTop="1" x14ac:dyDescent="0.25">
      <c r="A19" s="265" t="s">
        <v>153</v>
      </c>
      <c r="B19" s="254" t="s">
        <v>163</v>
      </c>
      <c r="C19" s="255"/>
      <c r="D19" s="267" t="s">
        <v>164</v>
      </c>
      <c r="E19" s="268" t="s">
        <v>156</v>
      </c>
      <c r="F19" s="269" t="s">
        <v>165</v>
      </c>
      <c r="G19" s="270" t="s">
        <v>166</v>
      </c>
      <c r="H19" s="256" t="s">
        <v>167</v>
      </c>
      <c r="I19" s="258" t="s">
        <v>168</v>
      </c>
      <c r="J19" s="222" t="s">
        <v>163</v>
      </c>
      <c r="K19" s="223"/>
      <c r="L19" s="224" t="s">
        <v>164</v>
      </c>
      <c r="M19" s="225" t="s">
        <v>156</v>
      </c>
      <c r="N19" s="226" t="s">
        <v>165</v>
      </c>
      <c r="O19" s="227" t="s">
        <v>166</v>
      </c>
      <c r="P19" s="228" t="s">
        <v>167</v>
      </c>
      <c r="Q19" s="230" t="s">
        <v>168</v>
      </c>
      <c r="R19" s="222" t="s">
        <v>163</v>
      </c>
      <c r="S19" s="232"/>
      <c r="T19" s="224" t="s">
        <v>164</v>
      </c>
      <c r="U19" s="237" t="s">
        <v>156</v>
      </c>
      <c r="V19" s="226" t="s">
        <v>165</v>
      </c>
      <c r="W19" s="238" t="s">
        <v>166</v>
      </c>
      <c r="X19" s="261" t="s">
        <v>167</v>
      </c>
      <c r="Y19" s="263" t="s">
        <v>168</v>
      </c>
      <c r="Z19" s="222" t="s">
        <v>163</v>
      </c>
      <c r="AA19" s="223"/>
      <c r="AB19" s="224" t="s">
        <v>164</v>
      </c>
      <c r="AC19" s="225" t="s">
        <v>156</v>
      </c>
      <c r="AD19" s="226" t="s">
        <v>165</v>
      </c>
      <c r="AE19" s="227" t="s">
        <v>166</v>
      </c>
      <c r="AF19" s="228" t="s">
        <v>167</v>
      </c>
      <c r="AG19" s="230" t="s">
        <v>168</v>
      </c>
      <c r="AH19" s="222" t="s">
        <v>163</v>
      </c>
      <c r="AI19" s="223"/>
      <c r="AJ19" s="224" t="s">
        <v>164</v>
      </c>
      <c r="AK19" s="225" t="s">
        <v>156</v>
      </c>
      <c r="AL19" s="226" t="s">
        <v>165</v>
      </c>
      <c r="AM19" s="227" t="s">
        <v>166</v>
      </c>
      <c r="AN19" s="228" t="s">
        <v>167</v>
      </c>
      <c r="AO19" s="230" t="s">
        <v>168</v>
      </c>
      <c r="AP19" s="222" t="s">
        <v>163</v>
      </c>
      <c r="AQ19" s="223"/>
      <c r="AR19" s="224" t="s">
        <v>164</v>
      </c>
      <c r="AS19" s="225" t="s">
        <v>156</v>
      </c>
      <c r="AT19" s="226" t="s">
        <v>165</v>
      </c>
      <c r="AU19" s="227" t="s">
        <v>166</v>
      </c>
      <c r="AV19" s="228" t="s">
        <v>167</v>
      </c>
      <c r="AW19" s="230" t="s">
        <v>168</v>
      </c>
    </row>
    <row r="20" spans="1:49" ht="42" customHeight="1" thickBot="1" x14ac:dyDescent="0.3">
      <c r="A20" s="266"/>
      <c r="B20" s="109" t="s">
        <v>169</v>
      </c>
      <c r="C20" s="110" t="s">
        <v>170</v>
      </c>
      <c r="D20" s="111" t="s">
        <v>169</v>
      </c>
      <c r="E20" s="110" t="s">
        <v>170</v>
      </c>
      <c r="F20" s="111" t="s">
        <v>169</v>
      </c>
      <c r="G20" s="111" t="s">
        <v>170</v>
      </c>
      <c r="H20" s="257"/>
      <c r="I20" s="259"/>
      <c r="J20" s="109" t="s">
        <v>169</v>
      </c>
      <c r="K20" s="110" t="s">
        <v>170</v>
      </c>
      <c r="L20" s="111" t="s">
        <v>169</v>
      </c>
      <c r="M20" s="110" t="s">
        <v>170</v>
      </c>
      <c r="N20" s="111" t="s">
        <v>169</v>
      </c>
      <c r="O20" s="111" t="s">
        <v>170</v>
      </c>
      <c r="P20" s="229"/>
      <c r="Q20" s="231"/>
      <c r="R20" s="109" t="s">
        <v>169</v>
      </c>
      <c r="S20" s="110" t="s">
        <v>170</v>
      </c>
      <c r="T20" s="111" t="s">
        <v>169</v>
      </c>
      <c r="U20" s="110" t="s">
        <v>170</v>
      </c>
      <c r="V20" s="111" t="s">
        <v>169</v>
      </c>
      <c r="W20" s="111" t="s">
        <v>170</v>
      </c>
      <c r="X20" s="262"/>
      <c r="Y20" s="264"/>
      <c r="Z20" s="109" t="s">
        <v>169</v>
      </c>
      <c r="AA20" s="110" t="s">
        <v>170</v>
      </c>
      <c r="AB20" s="111" t="s">
        <v>169</v>
      </c>
      <c r="AC20" s="110" t="s">
        <v>170</v>
      </c>
      <c r="AD20" s="111" t="s">
        <v>169</v>
      </c>
      <c r="AE20" s="111" t="s">
        <v>170</v>
      </c>
      <c r="AF20" s="229"/>
      <c r="AG20" s="231"/>
      <c r="AH20" s="109" t="s">
        <v>169</v>
      </c>
      <c r="AI20" s="110" t="s">
        <v>170</v>
      </c>
      <c r="AJ20" s="111" t="s">
        <v>169</v>
      </c>
      <c r="AK20" s="110" t="s">
        <v>170</v>
      </c>
      <c r="AL20" s="111" t="s">
        <v>169</v>
      </c>
      <c r="AM20" s="111" t="s">
        <v>170</v>
      </c>
      <c r="AN20" s="229"/>
      <c r="AO20" s="231"/>
      <c r="AP20" s="109" t="s">
        <v>169</v>
      </c>
      <c r="AQ20" s="110" t="s">
        <v>170</v>
      </c>
      <c r="AR20" s="111" t="s">
        <v>169</v>
      </c>
      <c r="AS20" s="110" t="s">
        <v>170</v>
      </c>
      <c r="AT20" s="111" t="s">
        <v>169</v>
      </c>
      <c r="AU20" s="111" t="s">
        <v>170</v>
      </c>
      <c r="AV20" s="229"/>
      <c r="AW20" s="231"/>
    </row>
    <row r="21" spans="1:49" ht="16.5" thickTop="1" x14ac:dyDescent="0.25">
      <c r="A21" s="112" t="s">
        <v>171</v>
      </c>
      <c r="B21" s="177">
        <f>B22</f>
        <v>0</v>
      </c>
      <c r="C21" s="177">
        <f t="shared" ref="C21:I21" si="10">C22</f>
        <v>0</v>
      </c>
      <c r="D21" s="177">
        <f t="shared" si="10"/>
        <v>8750</v>
      </c>
      <c r="E21" s="177">
        <f t="shared" si="10"/>
        <v>105000</v>
      </c>
      <c r="F21" s="177">
        <f t="shared" si="10"/>
        <v>0</v>
      </c>
      <c r="G21" s="177">
        <f t="shared" si="10"/>
        <v>0</v>
      </c>
      <c r="H21" s="177">
        <f t="shared" si="10"/>
        <v>8750</v>
      </c>
      <c r="I21" s="177">
        <f t="shared" si="10"/>
        <v>105000</v>
      </c>
      <c r="J21" s="177">
        <f>J22</f>
        <v>0</v>
      </c>
      <c r="K21" s="177">
        <f t="shared" ref="K21" si="11">K22</f>
        <v>0</v>
      </c>
      <c r="L21" s="177">
        <f t="shared" ref="L21" si="12">L22</f>
        <v>9056.25</v>
      </c>
      <c r="M21" s="177">
        <f t="shared" ref="M21" si="13">M22</f>
        <v>108674.99999999999</v>
      </c>
      <c r="N21" s="177">
        <f t="shared" ref="N21" si="14">N22</f>
        <v>0</v>
      </c>
      <c r="O21" s="177">
        <f t="shared" ref="O21" si="15">O22</f>
        <v>0</v>
      </c>
      <c r="P21" s="177">
        <f t="shared" ref="P21" si="16">P22</f>
        <v>9056.25</v>
      </c>
      <c r="Q21" s="177">
        <f t="shared" ref="Q21" si="17">Q22</f>
        <v>108674.99999999999</v>
      </c>
      <c r="R21" s="177">
        <f>R22</f>
        <v>0</v>
      </c>
      <c r="S21" s="177">
        <f t="shared" ref="S21" si="18">S22</f>
        <v>0</v>
      </c>
      <c r="T21" s="177">
        <f t="shared" ref="T21" si="19">T22</f>
        <v>9373.21875</v>
      </c>
      <c r="U21" s="177">
        <f t="shared" ref="U21" si="20">U22</f>
        <v>112478.62499999997</v>
      </c>
      <c r="V21" s="177">
        <f t="shared" ref="V21" si="21">V22</f>
        <v>0</v>
      </c>
      <c r="W21" s="177">
        <f t="shared" ref="W21" si="22">W22</f>
        <v>0</v>
      </c>
      <c r="X21" s="177">
        <f t="shared" ref="X21" si="23">X22</f>
        <v>9373.21875</v>
      </c>
      <c r="Y21" s="177">
        <f t="shared" ref="Y21" si="24">Y22</f>
        <v>112478.62499999997</v>
      </c>
      <c r="Z21" s="177">
        <f>Z22</f>
        <v>0</v>
      </c>
      <c r="AA21" s="177">
        <f t="shared" ref="AA21" si="25">AA22</f>
        <v>0</v>
      </c>
      <c r="AB21" s="177">
        <f t="shared" ref="AB21" si="26">AB22</f>
        <v>9701.2814062500001</v>
      </c>
      <c r="AC21" s="177">
        <f t="shared" ref="AC21" si="27">AC22</f>
        <v>116415.37687499996</v>
      </c>
      <c r="AD21" s="177">
        <f t="shared" ref="AD21" si="28">AD22</f>
        <v>0</v>
      </c>
      <c r="AE21" s="177">
        <f t="shared" ref="AE21" si="29">AE22</f>
        <v>0</v>
      </c>
      <c r="AF21" s="177">
        <f t="shared" ref="AF21" si="30">AF22</f>
        <v>9701.2814062500001</v>
      </c>
      <c r="AG21" s="177">
        <f t="shared" ref="AG21" si="31">AG22</f>
        <v>116415.37687499996</v>
      </c>
      <c r="AH21" s="177">
        <f>AH22</f>
        <v>0</v>
      </c>
      <c r="AI21" s="177">
        <f t="shared" ref="AI21" si="32">AI22</f>
        <v>0</v>
      </c>
      <c r="AJ21" s="177">
        <f t="shared" ref="AJ21" si="33">AJ22</f>
        <v>10040.82625546875</v>
      </c>
      <c r="AK21" s="177">
        <f t="shared" ref="AK21" si="34">AK22</f>
        <v>120489.91506562494</v>
      </c>
      <c r="AL21" s="177">
        <f t="shared" ref="AL21" si="35">AL22</f>
        <v>0</v>
      </c>
      <c r="AM21" s="177">
        <f t="shared" ref="AM21" si="36">AM22</f>
        <v>0</v>
      </c>
      <c r="AN21" s="177">
        <f t="shared" ref="AN21" si="37">AN22</f>
        <v>10040.82625546875</v>
      </c>
      <c r="AO21" s="177">
        <f t="shared" ref="AO21" si="38">AO22</f>
        <v>120489.91506562494</v>
      </c>
      <c r="AP21" s="177">
        <f>AP22</f>
        <v>0</v>
      </c>
      <c r="AQ21" s="177">
        <f t="shared" ref="AQ21" si="39">AQ22</f>
        <v>0</v>
      </c>
      <c r="AR21" s="177">
        <f t="shared" ref="AR21" si="40">AR22</f>
        <v>10392.255174410155</v>
      </c>
      <c r="AS21" s="177">
        <f t="shared" ref="AS21" si="41">AS22</f>
        <v>124707.0620929218</v>
      </c>
      <c r="AT21" s="177">
        <f t="shared" ref="AT21" si="42">AT22</f>
        <v>0</v>
      </c>
      <c r="AU21" s="177">
        <f t="shared" ref="AU21" si="43">AU22</f>
        <v>0</v>
      </c>
      <c r="AV21" s="177">
        <f t="shared" ref="AV21" si="44">AV22</f>
        <v>10392.255174410155</v>
      </c>
      <c r="AW21" s="177">
        <f t="shared" ref="AW21" si="45">AW22</f>
        <v>124707.0620929218</v>
      </c>
    </row>
    <row r="22" spans="1:49" ht="16.5" thickBot="1" x14ac:dyDescent="0.3">
      <c r="A22" s="113" t="s">
        <v>172</v>
      </c>
      <c r="B22" s="178">
        <v>0</v>
      </c>
      <c r="C22" s="179">
        <v>0</v>
      </c>
      <c r="D22" s="172">
        <f>E22/12</f>
        <v>8750</v>
      </c>
      <c r="E22" s="172">
        <f>B12</f>
        <v>105000</v>
      </c>
      <c r="F22" s="172">
        <v>0</v>
      </c>
      <c r="G22" s="172"/>
      <c r="H22" s="173">
        <v>8750</v>
      </c>
      <c r="I22" s="173">
        <v>105000</v>
      </c>
      <c r="J22" s="192">
        <f>B22*(1+$D$2)</f>
        <v>0</v>
      </c>
      <c r="K22" s="192">
        <f t="shared" ref="K22:Q22" si="46">C22*(1+$D$2)</f>
        <v>0</v>
      </c>
      <c r="L22" s="192">
        <f t="shared" si="46"/>
        <v>9056.25</v>
      </c>
      <c r="M22" s="192">
        <f t="shared" si="46"/>
        <v>108674.99999999999</v>
      </c>
      <c r="N22" s="192">
        <f t="shared" si="46"/>
        <v>0</v>
      </c>
      <c r="O22" s="192">
        <f t="shared" si="46"/>
        <v>0</v>
      </c>
      <c r="P22" s="192">
        <f t="shared" si="46"/>
        <v>9056.25</v>
      </c>
      <c r="Q22" s="192">
        <f t="shared" si="46"/>
        <v>108674.99999999999</v>
      </c>
      <c r="R22" s="192">
        <f>J22*(1+$D$2)</f>
        <v>0</v>
      </c>
      <c r="S22" s="192">
        <f t="shared" ref="S22" si="47">K22*(1+$D$2)</f>
        <v>0</v>
      </c>
      <c r="T22" s="192">
        <f t="shared" ref="T22" si="48">L22*(1+$D$2)</f>
        <v>9373.21875</v>
      </c>
      <c r="U22" s="192">
        <f t="shared" ref="U22" si="49">M22*(1+$D$2)</f>
        <v>112478.62499999997</v>
      </c>
      <c r="V22" s="192">
        <f t="shared" ref="V22" si="50">N22*(1+$D$2)</f>
        <v>0</v>
      </c>
      <c r="W22" s="192">
        <f t="shared" ref="W22" si="51">O22*(1+$D$2)</f>
        <v>0</v>
      </c>
      <c r="X22" s="192">
        <f t="shared" ref="X22" si="52">P22*(1+$D$2)</f>
        <v>9373.21875</v>
      </c>
      <c r="Y22" s="192">
        <f t="shared" ref="Y22" si="53">Q22*(1+$D$2)</f>
        <v>112478.62499999997</v>
      </c>
      <c r="Z22" s="192">
        <f>R22*(1+$D$2)</f>
        <v>0</v>
      </c>
      <c r="AA22" s="192">
        <f t="shared" ref="AA22" si="54">S22*(1+$D$2)</f>
        <v>0</v>
      </c>
      <c r="AB22" s="192">
        <f t="shared" ref="AB22" si="55">T22*(1+$D$2)</f>
        <v>9701.2814062500001</v>
      </c>
      <c r="AC22" s="192">
        <f t="shared" ref="AC22" si="56">U22*(1+$D$2)</f>
        <v>116415.37687499996</v>
      </c>
      <c r="AD22" s="192">
        <f t="shared" ref="AD22" si="57">V22*(1+$D$2)</f>
        <v>0</v>
      </c>
      <c r="AE22" s="192">
        <f t="shared" ref="AE22" si="58">W22*(1+$D$2)</f>
        <v>0</v>
      </c>
      <c r="AF22" s="192">
        <f t="shared" ref="AF22" si="59">X22*(1+$D$2)</f>
        <v>9701.2814062500001</v>
      </c>
      <c r="AG22" s="192">
        <f t="shared" ref="AG22" si="60">Y22*(1+$D$2)</f>
        <v>116415.37687499996</v>
      </c>
      <c r="AH22" s="192">
        <f>Z22*(1+$D$2)</f>
        <v>0</v>
      </c>
      <c r="AI22" s="192">
        <f t="shared" ref="AI22" si="61">AA22*(1+$D$2)</f>
        <v>0</v>
      </c>
      <c r="AJ22" s="192">
        <f t="shared" ref="AJ22" si="62">AB22*(1+$D$2)</f>
        <v>10040.82625546875</v>
      </c>
      <c r="AK22" s="192">
        <f t="shared" ref="AK22" si="63">AC22*(1+$D$2)</f>
        <v>120489.91506562494</v>
      </c>
      <c r="AL22" s="192">
        <f t="shared" ref="AL22" si="64">AD22*(1+$D$2)</f>
        <v>0</v>
      </c>
      <c r="AM22" s="192">
        <f t="shared" ref="AM22" si="65">AE22*(1+$D$2)</f>
        <v>0</v>
      </c>
      <c r="AN22" s="192">
        <f t="shared" ref="AN22" si="66">AF22*(1+$D$2)</f>
        <v>10040.82625546875</v>
      </c>
      <c r="AO22" s="192">
        <f t="shared" ref="AO22" si="67">AG22*(1+$D$2)</f>
        <v>120489.91506562494</v>
      </c>
      <c r="AP22" s="192">
        <f>AH22*(1+$D$2)</f>
        <v>0</v>
      </c>
      <c r="AQ22" s="192">
        <f t="shared" ref="AQ22" si="68">AI22*(1+$D$2)</f>
        <v>0</v>
      </c>
      <c r="AR22" s="192">
        <f t="shared" ref="AR22" si="69">AJ22*(1+$D$2)</f>
        <v>10392.255174410155</v>
      </c>
      <c r="AS22" s="192">
        <f t="shared" ref="AS22" si="70">AK22*(1+$D$2)</f>
        <v>124707.0620929218</v>
      </c>
      <c r="AT22" s="192">
        <f t="shared" ref="AT22" si="71">AL22*(1+$D$2)</f>
        <v>0</v>
      </c>
      <c r="AU22" s="192">
        <f t="shared" ref="AU22" si="72">AM22*(1+$D$2)</f>
        <v>0</v>
      </c>
      <c r="AV22" s="192">
        <f t="shared" ref="AV22" si="73">AN22*(1+$D$2)</f>
        <v>10392.255174410155</v>
      </c>
      <c r="AW22" s="192">
        <f t="shared" ref="AW22" si="74">AO22*(1+$D$2)</f>
        <v>124707.0620929218</v>
      </c>
    </row>
    <row r="23" spans="1:49" ht="15.75" x14ac:dyDescent="0.25">
      <c r="A23" s="114" t="s">
        <v>173</v>
      </c>
      <c r="B23" s="176">
        <f>SUM(B24:B31)</f>
        <v>41369.629629629628</v>
      </c>
      <c r="C23" s="174">
        <f>SUM(C24:C31)</f>
        <v>496435.55555555556</v>
      </c>
      <c r="D23" s="174">
        <f>SUM(D24:D31)</f>
        <v>25176.875</v>
      </c>
      <c r="E23" s="174">
        <f>SUM(E24:E31)</f>
        <v>302122.5</v>
      </c>
      <c r="F23" s="174">
        <f t="shared" ref="F23:G23" si="75">SUM(F24:F31)</f>
        <v>75866.467592592599</v>
      </c>
      <c r="G23" s="174">
        <f t="shared" si="75"/>
        <v>910397.61111111112</v>
      </c>
      <c r="H23" s="174">
        <f>SUM(H24:H31)</f>
        <v>142412.97222222222</v>
      </c>
      <c r="I23" s="175">
        <f>SUM(I24:I31)</f>
        <v>1708955.6666666667</v>
      </c>
      <c r="J23" s="175">
        <f t="shared" ref="J23:Q23" si="76">SUM(J24:J31)</f>
        <v>42817.566666666666</v>
      </c>
      <c r="K23" s="175">
        <f t="shared" si="76"/>
        <v>513810.8</v>
      </c>
      <c r="L23" s="175">
        <f t="shared" si="76"/>
        <v>26058.065624999999</v>
      </c>
      <c r="M23" s="175">
        <f t="shared" si="76"/>
        <v>317532</v>
      </c>
      <c r="N23" s="175">
        <f t="shared" si="76"/>
        <v>78521.793958333335</v>
      </c>
      <c r="O23" s="175">
        <f t="shared" si="76"/>
        <v>942261.52749999997</v>
      </c>
      <c r="P23" s="175">
        <f t="shared" si="76"/>
        <v>147397.42624999999</v>
      </c>
      <c r="Q23" s="175">
        <f t="shared" si="76"/>
        <v>1773604.3274999999</v>
      </c>
      <c r="R23" s="175">
        <f t="shared" ref="R23" si="77">SUM(R24:R31)</f>
        <v>44316.181499999999</v>
      </c>
      <c r="S23" s="175">
        <f t="shared" ref="S23" si="78">SUM(S24:S31)</f>
        <v>531794.17799999996</v>
      </c>
      <c r="T23" s="175">
        <f t="shared" ref="T23" si="79">SUM(T24:T31)</f>
        <v>26970.097921875004</v>
      </c>
      <c r="U23" s="175">
        <f t="shared" ref="U23" si="80">SUM(U24:U31)</f>
        <v>328226.62</v>
      </c>
      <c r="V23" s="175">
        <f t="shared" ref="V23" si="81">SUM(V24:V31)</f>
        <v>81270.056746874994</v>
      </c>
      <c r="W23" s="175">
        <f t="shared" ref="W23" si="82">SUM(W24:W31)</f>
        <v>975240.68096249981</v>
      </c>
      <c r="X23" s="175">
        <f t="shared" ref="X23" si="83">SUM(X24:X31)</f>
        <v>152556.33616874999</v>
      </c>
      <c r="Y23" s="175">
        <f t="shared" ref="Y23" si="84">SUM(Y24:Y31)</f>
        <v>1835261.4789625001</v>
      </c>
      <c r="Z23" s="175">
        <f t="shared" ref="Z23" si="85">SUM(Z24:Z31)</f>
        <v>45867.247852499997</v>
      </c>
      <c r="AA23" s="175">
        <f t="shared" ref="AA23" si="86">SUM(AA24:AA31)</f>
        <v>550406.97422999993</v>
      </c>
      <c r="AB23" s="175">
        <f t="shared" ref="AB23" si="87">SUM(AB24:AB31)</f>
        <v>27914.051349140624</v>
      </c>
      <c r="AC23" s="175">
        <f t="shared" ref="AC23" si="88">SUM(AC24:AC31)</f>
        <v>339295.51669999992</v>
      </c>
      <c r="AD23" s="175">
        <f t="shared" ref="AD23" si="89">SUM(AD24:AD31)</f>
        <v>84114.508733015624</v>
      </c>
      <c r="AE23" s="175">
        <f t="shared" ref="AE23" si="90">SUM(AE24:AE31)</f>
        <v>1009374.1047961873</v>
      </c>
      <c r="AF23" s="175">
        <f t="shared" ref="AF23" si="91">SUM(AF24:AF31)</f>
        <v>157895.80793465622</v>
      </c>
      <c r="AG23" s="175">
        <f t="shared" ref="AG23" si="92">SUM(AG24:AG31)</f>
        <v>1899076.5957261869</v>
      </c>
      <c r="AH23" s="175">
        <f t="shared" ref="AH23" si="93">SUM(AH24:AH31)</f>
        <v>47472.601527337487</v>
      </c>
      <c r="AI23" s="175">
        <f t="shared" ref="AI23" si="94">SUM(AI24:AI31)</f>
        <v>569671.21832804987</v>
      </c>
      <c r="AJ23" s="175">
        <f t="shared" ref="AJ23" si="95">SUM(AJ24:AJ31)</f>
        <v>28891.043146360538</v>
      </c>
      <c r="AK23" s="175">
        <f t="shared" ref="AK23" si="96">SUM(AK24:AK31)</f>
        <v>350750.78978449997</v>
      </c>
      <c r="AL23" s="175">
        <f t="shared" ref="AL23" si="97">SUM(AL24:AL31)</f>
        <v>87058.51653867116</v>
      </c>
      <c r="AM23" s="175">
        <f t="shared" ref="AM23" si="98">SUM(AM24:AM31)</f>
        <v>1044702.1984640538</v>
      </c>
      <c r="AN23" s="175">
        <f t="shared" ref="AN23" si="99">SUM(AN24:AN31)</f>
        <v>163422.16121236919</v>
      </c>
      <c r="AO23" s="175">
        <f t="shared" ref="AO23" si="100">SUM(AO24:AO31)</f>
        <v>1965124.2065766037</v>
      </c>
      <c r="AP23" s="175">
        <f t="shared" ref="AP23" si="101">SUM(AP24:AP31)</f>
        <v>49134.142580794301</v>
      </c>
      <c r="AQ23" s="175">
        <f t="shared" ref="AQ23" si="102">SUM(AQ24:AQ31)</f>
        <v>589609.71096953168</v>
      </c>
      <c r="AR23" s="175">
        <f t="shared" ref="AR23" si="103">SUM(AR24:AR31)</f>
        <v>29902.229656483156</v>
      </c>
      <c r="AS23" s="175">
        <f t="shared" ref="AS23" si="104">SUM(AS24:AS31)</f>
        <v>362607.99742695742</v>
      </c>
      <c r="AT23" s="175">
        <f t="shared" ref="AT23" si="105">SUM(AT24:AT31)</f>
        <v>90105.564617524637</v>
      </c>
      <c r="AU23" s="175">
        <f t="shared" ref="AU23" si="106">SUM(AU24:AU31)</f>
        <v>1081266.7754102957</v>
      </c>
      <c r="AV23" s="175">
        <f t="shared" ref="AV23" si="107">SUM(AV24:AV31)</f>
        <v>169141.9368548021</v>
      </c>
      <c r="AW23" s="175">
        <f t="shared" ref="AW23" si="108">SUM(AW24:AW31)</f>
        <v>2033484.4838067847</v>
      </c>
    </row>
    <row r="24" spans="1:49" x14ac:dyDescent="0.2">
      <c r="A24" s="105" t="s">
        <v>174</v>
      </c>
      <c r="B24" s="180">
        <f>Remuneraciones!G6+Remuneraciones!G7+Remuneraciones!G10+Remuneraciones!G11+Remuneraciones!G12+Remuneraciones!G13</f>
        <v>39150</v>
      </c>
      <c r="C24" s="181">
        <f>B24*12</f>
        <v>469800</v>
      </c>
      <c r="D24" s="181">
        <f>Remuneraciones!G8+Remuneraciones!G9+Remuneraciones!G17+Remuneraciones!G18</f>
        <v>21600</v>
      </c>
      <c r="E24" s="181">
        <f>D24*12</f>
        <v>259200</v>
      </c>
      <c r="F24" s="181">
        <f>Remuneraciones!G3+Remuneraciones!G4+Remuneraciones!G5+Remuneraciones!G14+Remuneraciones!G15+Remuneraciones!G16</f>
        <v>40500</v>
      </c>
      <c r="G24" s="181">
        <f>F24*12</f>
        <v>486000</v>
      </c>
      <c r="H24" s="182">
        <f>B24+D24+F24</f>
        <v>101250</v>
      </c>
      <c r="I24" s="183">
        <f>C24+E24+G24</f>
        <v>1215000</v>
      </c>
      <c r="J24" s="180">
        <f>B24*(1+$D$2)</f>
        <v>40520.25</v>
      </c>
      <c r="K24" s="180">
        <f>J24*12</f>
        <v>486243</v>
      </c>
      <c r="L24" s="181">
        <f>D24*(1+$D$2)</f>
        <v>22356</v>
      </c>
      <c r="M24" s="181">
        <f>L24*12</f>
        <v>268272</v>
      </c>
      <c r="N24" s="181">
        <f>F24*(1+$D$2)</f>
        <v>41917.5</v>
      </c>
      <c r="O24" s="181">
        <f>N24*12</f>
        <v>503010</v>
      </c>
      <c r="P24" s="181">
        <f>J24+L24+N24</f>
        <v>104793.75</v>
      </c>
      <c r="Q24" s="181">
        <f>K24+M24+O24</f>
        <v>1257525</v>
      </c>
      <c r="R24" s="180">
        <f>J24*(1+$D$2)</f>
        <v>41938.458749999998</v>
      </c>
      <c r="S24" s="180">
        <f>R24*12</f>
        <v>503261.505</v>
      </c>
      <c r="T24" s="181">
        <f>L24*(1+$D$2)</f>
        <v>23138.46</v>
      </c>
      <c r="U24" s="181">
        <f>T24*12</f>
        <v>277661.52</v>
      </c>
      <c r="V24" s="181">
        <f>N24*(1+$D$2)</f>
        <v>43384.612499999996</v>
      </c>
      <c r="W24" s="181">
        <f>V24*12</f>
        <v>520615.35</v>
      </c>
      <c r="X24" s="181">
        <f>R24+T24+V24</f>
        <v>108461.53125</v>
      </c>
      <c r="Y24" s="181">
        <f>S24+U24+W24</f>
        <v>1301538.375</v>
      </c>
      <c r="Z24" s="180">
        <f>R24*(1+$D$2)</f>
        <v>43406.304806249995</v>
      </c>
      <c r="AA24" s="180">
        <f>Z24*12</f>
        <v>520875.65767499991</v>
      </c>
      <c r="AB24" s="181">
        <f>T24*(1+$D$2)</f>
        <v>23948.306099999998</v>
      </c>
      <c r="AC24" s="181">
        <f>AB24*12</f>
        <v>287379.67319999996</v>
      </c>
      <c r="AD24" s="181">
        <f>V24*(1+$D$2)</f>
        <v>44903.07393749999</v>
      </c>
      <c r="AE24" s="181">
        <f>AD24*12</f>
        <v>538836.88724999991</v>
      </c>
      <c r="AF24" s="181">
        <f>Z24+AB24+AD24</f>
        <v>112257.68484374997</v>
      </c>
      <c r="AG24" s="181">
        <f>AA24+AC24+AE24</f>
        <v>1347092.2181249997</v>
      </c>
      <c r="AH24" s="180">
        <f>Z24*(1+$D$2)</f>
        <v>44925.525474468741</v>
      </c>
      <c r="AI24" s="180">
        <f>AH24*12</f>
        <v>539106.30569362489</v>
      </c>
      <c r="AJ24" s="181">
        <f>AB24*(1+$D$2)</f>
        <v>24786.496813499994</v>
      </c>
      <c r="AK24" s="181">
        <f>AJ24*12</f>
        <v>297437.96176199993</v>
      </c>
      <c r="AL24" s="181">
        <f>AD24*(1+$D$2)</f>
        <v>46474.681525312488</v>
      </c>
      <c r="AM24" s="181">
        <f>AL24*12</f>
        <v>557696.17830374988</v>
      </c>
      <c r="AN24" s="181">
        <f>AH24+AJ24+AL24</f>
        <v>116186.70381328123</v>
      </c>
      <c r="AO24" s="181">
        <f>AI24+AK24+AM24</f>
        <v>1394240.4457593746</v>
      </c>
      <c r="AP24" s="180">
        <f>AH24*(1+$D$2)</f>
        <v>46497.918866075146</v>
      </c>
      <c r="AQ24" s="180">
        <f>AP24*12</f>
        <v>557975.02639290178</v>
      </c>
      <c r="AR24" s="181">
        <f>AJ24*(1+$D$2)</f>
        <v>25654.024201972494</v>
      </c>
      <c r="AS24" s="181">
        <f>AR24*12</f>
        <v>307848.29042366991</v>
      </c>
      <c r="AT24" s="181">
        <f>AL24*(1+$D$2)</f>
        <v>48101.295378698422</v>
      </c>
      <c r="AU24" s="181">
        <f>AT24*12</f>
        <v>577215.54454438109</v>
      </c>
      <c r="AV24" s="181">
        <f>AP24+AR24+AT24</f>
        <v>120253.23844674605</v>
      </c>
      <c r="AW24" s="181">
        <f>AQ24+AS24+AU24</f>
        <v>1443038.8613609527</v>
      </c>
    </row>
    <row r="25" spans="1:49" x14ac:dyDescent="0.2">
      <c r="A25" s="105" t="s">
        <v>175</v>
      </c>
      <c r="B25" s="180"/>
      <c r="C25" s="181">
        <f t="shared" ref="C25:C31" si="109">B25*12</f>
        <v>0</v>
      </c>
      <c r="D25" s="181"/>
      <c r="E25" s="181">
        <f t="shared" ref="E25:E31" si="110">D25*12</f>
        <v>0</v>
      </c>
      <c r="F25" s="184">
        <f>'Inversion Total'!C53</f>
        <v>30000</v>
      </c>
      <c r="G25" s="181">
        <f t="shared" ref="G25:G31" si="111">F25*12</f>
        <v>360000</v>
      </c>
      <c r="H25" s="182">
        <f t="shared" ref="H25:H31" si="112">B25+D25+F25</f>
        <v>30000</v>
      </c>
      <c r="I25" s="183">
        <f t="shared" ref="I25:I31" si="113">C25+E25+G25</f>
        <v>360000</v>
      </c>
      <c r="J25" s="180">
        <f t="shared" ref="J25:J31" si="114">B25*(1+$D$2)</f>
        <v>0</v>
      </c>
      <c r="K25" s="180">
        <f t="shared" ref="K25:K31" si="115">J25*12</f>
        <v>0</v>
      </c>
      <c r="L25" s="181">
        <f t="shared" ref="L25:L31" si="116">D25*(1+$D$2)</f>
        <v>0</v>
      </c>
      <c r="M25" s="181">
        <f t="shared" ref="M25:M30" si="117">L25*12</f>
        <v>0</v>
      </c>
      <c r="N25" s="181">
        <f t="shared" ref="N25:N31" si="118">F25*(1+$D$2)</f>
        <v>31049.999999999996</v>
      </c>
      <c r="O25" s="181">
        <f t="shared" ref="O25:O31" si="119">N25*12</f>
        <v>372599.99999999994</v>
      </c>
      <c r="P25" s="181">
        <f t="shared" ref="P25:P31" si="120">J25+L25+N25</f>
        <v>31049.999999999996</v>
      </c>
      <c r="Q25" s="181">
        <f t="shared" ref="Q25:Q30" si="121">K25+M25+O25</f>
        <v>372599.99999999994</v>
      </c>
      <c r="R25" s="180">
        <f t="shared" ref="R25:R31" si="122">J25*(1+$D$2)</f>
        <v>0</v>
      </c>
      <c r="S25" s="180">
        <f t="shared" ref="S25:S31" si="123">R25*12</f>
        <v>0</v>
      </c>
      <c r="T25" s="181">
        <f t="shared" ref="T25:T31" si="124">L25*(1+$D$2)</f>
        <v>0</v>
      </c>
      <c r="U25" s="181">
        <f t="shared" ref="U25:U30" si="125">T25*12</f>
        <v>0</v>
      </c>
      <c r="V25" s="181">
        <f t="shared" ref="V25:V31" si="126">N25*(1+$D$2)</f>
        <v>32136.749999999993</v>
      </c>
      <c r="W25" s="181">
        <f t="shared" ref="W25:W31" si="127">V25*12</f>
        <v>385640.99999999988</v>
      </c>
      <c r="X25" s="181">
        <f t="shared" ref="X25:X31" si="128">R25+T25+V25</f>
        <v>32136.749999999993</v>
      </c>
      <c r="Y25" s="181">
        <f t="shared" ref="Y25:Y30" si="129">S25+U25+W25</f>
        <v>385640.99999999988</v>
      </c>
      <c r="Z25" s="180">
        <f t="shared" ref="Z25:Z31" si="130">R25*(1+$D$2)</f>
        <v>0</v>
      </c>
      <c r="AA25" s="180">
        <f t="shared" ref="AA25:AA31" si="131">Z25*12</f>
        <v>0</v>
      </c>
      <c r="AB25" s="181">
        <f t="shared" ref="AB25:AB31" si="132">T25*(1+$D$2)</f>
        <v>0</v>
      </c>
      <c r="AC25" s="181">
        <f t="shared" ref="AC25:AC30" si="133">AB25*12</f>
        <v>0</v>
      </c>
      <c r="AD25" s="181">
        <f t="shared" ref="AD25:AD31" si="134">V25*(1+$D$2)</f>
        <v>33261.53624999999</v>
      </c>
      <c r="AE25" s="181">
        <f t="shared" ref="AE25:AE31" si="135">AD25*12</f>
        <v>399138.43499999988</v>
      </c>
      <c r="AF25" s="181">
        <f t="shared" ref="AF25:AF31" si="136">Z25+AB25+AD25</f>
        <v>33261.53624999999</v>
      </c>
      <c r="AG25" s="181">
        <f t="shared" ref="AG25:AG30" si="137">AA25+AC25+AE25</f>
        <v>399138.43499999988</v>
      </c>
      <c r="AH25" s="180">
        <f t="shared" ref="AH25:AH31" si="138">Z25*(1+$D$2)</f>
        <v>0</v>
      </c>
      <c r="AI25" s="180">
        <f t="shared" ref="AI25:AI31" si="139">AH25*12</f>
        <v>0</v>
      </c>
      <c r="AJ25" s="181">
        <f t="shared" ref="AJ25:AJ31" si="140">AB25*(1+$D$2)</f>
        <v>0</v>
      </c>
      <c r="AK25" s="181">
        <f t="shared" ref="AK25:AK30" si="141">AJ25*12</f>
        <v>0</v>
      </c>
      <c r="AL25" s="181">
        <f t="shared" ref="AL25:AL31" si="142">AD25*(1+$D$2)</f>
        <v>34425.690018749985</v>
      </c>
      <c r="AM25" s="181">
        <f t="shared" ref="AM25:AM31" si="143">AL25*12</f>
        <v>413108.28022499982</v>
      </c>
      <c r="AN25" s="181">
        <f t="shared" ref="AN25:AN31" si="144">AH25+AJ25+AL25</f>
        <v>34425.690018749985</v>
      </c>
      <c r="AO25" s="181">
        <f t="shared" ref="AO25:AO30" si="145">AI25+AK25+AM25</f>
        <v>413108.28022499982</v>
      </c>
      <c r="AP25" s="180">
        <f t="shared" ref="AP25:AP31" si="146">AH25*(1+$D$2)</f>
        <v>0</v>
      </c>
      <c r="AQ25" s="180">
        <f t="shared" ref="AQ25:AQ31" si="147">AP25*12</f>
        <v>0</v>
      </c>
      <c r="AR25" s="181">
        <f t="shared" ref="AR25:AR31" si="148">AJ25*(1+$D$2)</f>
        <v>0</v>
      </c>
      <c r="AS25" s="181">
        <f t="shared" ref="AS25:AS30" si="149">AR25*12</f>
        <v>0</v>
      </c>
      <c r="AT25" s="181">
        <f t="shared" ref="AT25:AT31" si="150">AL25*(1+$D$2)</f>
        <v>35630.58916940623</v>
      </c>
      <c r="AU25" s="181">
        <f t="shared" ref="AU25:AU31" si="151">AT25*12</f>
        <v>427567.07003287476</v>
      </c>
      <c r="AV25" s="181">
        <f t="shared" ref="AV25:AV31" si="152">AP25+AR25+AT25</f>
        <v>35630.58916940623</v>
      </c>
      <c r="AW25" s="181">
        <f t="shared" ref="AW25:AW30" si="153">AQ25+AS25+AU25</f>
        <v>427567.07003287476</v>
      </c>
    </row>
    <row r="26" spans="1:49" x14ac:dyDescent="0.2">
      <c r="A26" s="105" t="s">
        <v>176</v>
      </c>
      <c r="B26" s="180"/>
      <c r="C26" s="181">
        <f t="shared" si="109"/>
        <v>0</v>
      </c>
      <c r="D26" s="181"/>
      <c r="E26" s="181">
        <f t="shared" si="110"/>
        <v>0</v>
      </c>
      <c r="F26" s="181"/>
      <c r="G26" s="181">
        <f t="shared" si="111"/>
        <v>0</v>
      </c>
      <c r="H26" s="182">
        <f t="shared" si="112"/>
        <v>0</v>
      </c>
      <c r="I26" s="183">
        <f t="shared" si="113"/>
        <v>0</v>
      </c>
      <c r="J26" s="180">
        <f t="shared" si="114"/>
        <v>0</v>
      </c>
      <c r="K26" s="180">
        <f t="shared" si="115"/>
        <v>0</v>
      </c>
      <c r="L26" s="181">
        <f t="shared" si="116"/>
        <v>0</v>
      </c>
      <c r="M26" s="181">
        <f t="shared" si="117"/>
        <v>0</v>
      </c>
      <c r="N26" s="181">
        <f t="shared" si="118"/>
        <v>0</v>
      </c>
      <c r="O26" s="181">
        <f t="shared" si="119"/>
        <v>0</v>
      </c>
      <c r="P26" s="181">
        <f t="shared" si="120"/>
        <v>0</v>
      </c>
      <c r="Q26" s="181">
        <f t="shared" si="121"/>
        <v>0</v>
      </c>
      <c r="R26" s="180">
        <f t="shared" si="122"/>
        <v>0</v>
      </c>
      <c r="S26" s="180">
        <f t="shared" si="123"/>
        <v>0</v>
      </c>
      <c r="T26" s="181">
        <f t="shared" si="124"/>
        <v>0</v>
      </c>
      <c r="U26" s="181">
        <f t="shared" si="125"/>
        <v>0</v>
      </c>
      <c r="V26" s="181">
        <f t="shared" si="126"/>
        <v>0</v>
      </c>
      <c r="W26" s="181">
        <f t="shared" si="127"/>
        <v>0</v>
      </c>
      <c r="X26" s="181">
        <f t="shared" si="128"/>
        <v>0</v>
      </c>
      <c r="Y26" s="181">
        <f t="shared" si="129"/>
        <v>0</v>
      </c>
      <c r="Z26" s="180">
        <f t="shared" si="130"/>
        <v>0</v>
      </c>
      <c r="AA26" s="180">
        <f t="shared" si="131"/>
        <v>0</v>
      </c>
      <c r="AB26" s="181">
        <f t="shared" si="132"/>
        <v>0</v>
      </c>
      <c r="AC26" s="181">
        <f t="shared" si="133"/>
        <v>0</v>
      </c>
      <c r="AD26" s="181">
        <f t="shared" si="134"/>
        <v>0</v>
      </c>
      <c r="AE26" s="181">
        <f t="shared" si="135"/>
        <v>0</v>
      </c>
      <c r="AF26" s="181">
        <f t="shared" si="136"/>
        <v>0</v>
      </c>
      <c r="AG26" s="181">
        <f t="shared" si="137"/>
        <v>0</v>
      </c>
      <c r="AH26" s="180">
        <f t="shared" si="138"/>
        <v>0</v>
      </c>
      <c r="AI26" s="180">
        <f t="shared" si="139"/>
        <v>0</v>
      </c>
      <c r="AJ26" s="181">
        <f t="shared" si="140"/>
        <v>0</v>
      </c>
      <c r="AK26" s="181">
        <f t="shared" si="141"/>
        <v>0</v>
      </c>
      <c r="AL26" s="181">
        <f t="shared" si="142"/>
        <v>0</v>
      </c>
      <c r="AM26" s="181">
        <f t="shared" si="143"/>
        <v>0</v>
      </c>
      <c r="AN26" s="181">
        <f t="shared" si="144"/>
        <v>0</v>
      </c>
      <c r="AO26" s="181">
        <f t="shared" si="145"/>
        <v>0</v>
      </c>
      <c r="AP26" s="180">
        <f t="shared" si="146"/>
        <v>0</v>
      </c>
      <c r="AQ26" s="180">
        <f t="shared" si="147"/>
        <v>0</v>
      </c>
      <c r="AR26" s="181">
        <f t="shared" si="148"/>
        <v>0</v>
      </c>
      <c r="AS26" s="181">
        <f t="shared" si="149"/>
        <v>0</v>
      </c>
      <c r="AT26" s="181">
        <f t="shared" si="150"/>
        <v>0</v>
      </c>
      <c r="AU26" s="181">
        <f t="shared" si="151"/>
        <v>0</v>
      </c>
      <c r="AV26" s="181">
        <f t="shared" si="152"/>
        <v>0</v>
      </c>
      <c r="AW26" s="181">
        <f t="shared" si="153"/>
        <v>0</v>
      </c>
    </row>
    <row r="27" spans="1:49" x14ac:dyDescent="0.2">
      <c r="A27" s="105" t="s">
        <v>177</v>
      </c>
      <c r="B27" s="180"/>
      <c r="C27" s="181">
        <f t="shared" si="109"/>
        <v>0</v>
      </c>
      <c r="D27" s="184">
        <f>'Inversion Total'!C57</f>
        <v>1500</v>
      </c>
      <c r="E27" s="181">
        <f t="shared" si="110"/>
        <v>18000</v>
      </c>
      <c r="F27" s="181"/>
      <c r="G27" s="181">
        <f t="shared" si="111"/>
        <v>0</v>
      </c>
      <c r="H27" s="182">
        <f t="shared" si="112"/>
        <v>1500</v>
      </c>
      <c r="I27" s="183">
        <f t="shared" si="113"/>
        <v>18000</v>
      </c>
      <c r="J27" s="180">
        <f t="shared" si="114"/>
        <v>0</v>
      </c>
      <c r="K27" s="180">
        <f t="shared" si="115"/>
        <v>0</v>
      </c>
      <c r="L27" s="181">
        <f t="shared" si="116"/>
        <v>1552.4999999999998</v>
      </c>
      <c r="M27" s="181">
        <f t="shared" si="117"/>
        <v>18629.999999999996</v>
      </c>
      <c r="N27" s="181">
        <f t="shared" si="118"/>
        <v>0</v>
      </c>
      <c r="O27" s="181">
        <f t="shared" si="119"/>
        <v>0</v>
      </c>
      <c r="P27" s="181">
        <f t="shared" si="120"/>
        <v>1552.4999999999998</v>
      </c>
      <c r="Q27" s="181">
        <f t="shared" si="121"/>
        <v>18629.999999999996</v>
      </c>
      <c r="R27" s="180">
        <f t="shared" si="122"/>
        <v>0</v>
      </c>
      <c r="S27" s="180">
        <f t="shared" si="123"/>
        <v>0</v>
      </c>
      <c r="T27" s="181">
        <f t="shared" si="124"/>
        <v>1606.8374999999996</v>
      </c>
      <c r="U27" s="181">
        <f t="shared" si="125"/>
        <v>19282.049999999996</v>
      </c>
      <c r="V27" s="181">
        <f t="shared" si="126"/>
        <v>0</v>
      </c>
      <c r="W27" s="181">
        <f t="shared" si="127"/>
        <v>0</v>
      </c>
      <c r="X27" s="181">
        <f t="shared" si="128"/>
        <v>1606.8374999999996</v>
      </c>
      <c r="Y27" s="181">
        <f t="shared" si="129"/>
        <v>19282.049999999996</v>
      </c>
      <c r="Z27" s="180">
        <f t="shared" si="130"/>
        <v>0</v>
      </c>
      <c r="AA27" s="180">
        <f t="shared" si="131"/>
        <v>0</v>
      </c>
      <c r="AB27" s="181">
        <f t="shared" si="132"/>
        <v>1663.0768124999995</v>
      </c>
      <c r="AC27" s="181">
        <f t="shared" si="133"/>
        <v>19956.921749999994</v>
      </c>
      <c r="AD27" s="181">
        <f t="shared" si="134"/>
        <v>0</v>
      </c>
      <c r="AE27" s="181">
        <f t="shared" si="135"/>
        <v>0</v>
      </c>
      <c r="AF27" s="181">
        <f t="shared" si="136"/>
        <v>1663.0768124999995</v>
      </c>
      <c r="AG27" s="181">
        <f t="shared" si="137"/>
        <v>19956.921749999994</v>
      </c>
      <c r="AH27" s="180">
        <f t="shared" si="138"/>
        <v>0</v>
      </c>
      <c r="AI27" s="180">
        <f t="shared" si="139"/>
        <v>0</v>
      </c>
      <c r="AJ27" s="181">
        <f t="shared" si="140"/>
        <v>1721.2845009374994</v>
      </c>
      <c r="AK27" s="181">
        <f t="shared" si="141"/>
        <v>20655.414011249992</v>
      </c>
      <c r="AL27" s="181">
        <f t="shared" si="142"/>
        <v>0</v>
      </c>
      <c r="AM27" s="181">
        <f t="shared" si="143"/>
        <v>0</v>
      </c>
      <c r="AN27" s="181">
        <f t="shared" si="144"/>
        <v>1721.2845009374994</v>
      </c>
      <c r="AO27" s="181">
        <f t="shared" si="145"/>
        <v>20655.414011249992</v>
      </c>
      <c r="AP27" s="180">
        <f t="shared" si="146"/>
        <v>0</v>
      </c>
      <c r="AQ27" s="180">
        <f t="shared" si="147"/>
        <v>0</v>
      </c>
      <c r="AR27" s="181">
        <f t="shared" si="148"/>
        <v>1781.5294584703117</v>
      </c>
      <c r="AS27" s="181">
        <f t="shared" si="149"/>
        <v>21378.353501643742</v>
      </c>
      <c r="AT27" s="181">
        <f t="shared" si="150"/>
        <v>0</v>
      </c>
      <c r="AU27" s="181">
        <f t="shared" si="151"/>
        <v>0</v>
      </c>
      <c r="AV27" s="181">
        <f t="shared" si="152"/>
        <v>1781.5294584703117</v>
      </c>
      <c r="AW27" s="181">
        <f t="shared" si="153"/>
        <v>21378.353501643742</v>
      </c>
    </row>
    <row r="28" spans="1:49" x14ac:dyDescent="0.2">
      <c r="A28" s="105" t="s">
        <v>178</v>
      </c>
      <c r="B28" s="180"/>
      <c r="C28" s="181">
        <f t="shared" si="109"/>
        <v>0</v>
      </c>
      <c r="D28" s="184">
        <f>'Inversion Total'!C54</f>
        <v>1500</v>
      </c>
      <c r="E28" s="181">
        <f t="shared" si="110"/>
        <v>18000</v>
      </c>
      <c r="F28" s="181"/>
      <c r="G28" s="181">
        <f t="shared" si="111"/>
        <v>0</v>
      </c>
      <c r="H28" s="182">
        <f t="shared" si="112"/>
        <v>1500</v>
      </c>
      <c r="I28" s="183">
        <f t="shared" si="113"/>
        <v>18000</v>
      </c>
      <c r="J28" s="180">
        <f t="shared" si="114"/>
        <v>0</v>
      </c>
      <c r="K28" s="180">
        <f t="shared" si="115"/>
        <v>0</v>
      </c>
      <c r="L28" s="181">
        <f t="shared" si="116"/>
        <v>1552.4999999999998</v>
      </c>
      <c r="M28" s="181">
        <f t="shared" si="117"/>
        <v>18629.999999999996</v>
      </c>
      <c r="N28" s="181">
        <f t="shared" si="118"/>
        <v>0</v>
      </c>
      <c r="O28" s="181">
        <f t="shared" si="119"/>
        <v>0</v>
      </c>
      <c r="P28" s="181">
        <f t="shared" si="120"/>
        <v>1552.4999999999998</v>
      </c>
      <c r="Q28" s="181">
        <f t="shared" si="121"/>
        <v>18629.999999999996</v>
      </c>
      <c r="R28" s="180">
        <f t="shared" si="122"/>
        <v>0</v>
      </c>
      <c r="S28" s="180">
        <f t="shared" si="123"/>
        <v>0</v>
      </c>
      <c r="T28" s="181">
        <f t="shared" si="124"/>
        <v>1606.8374999999996</v>
      </c>
      <c r="U28" s="181">
        <f t="shared" si="125"/>
        <v>19282.049999999996</v>
      </c>
      <c r="V28" s="181">
        <f t="shared" si="126"/>
        <v>0</v>
      </c>
      <c r="W28" s="181">
        <f t="shared" si="127"/>
        <v>0</v>
      </c>
      <c r="X28" s="181">
        <f t="shared" si="128"/>
        <v>1606.8374999999996</v>
      </c>
      <c r="Y28" s="181">
        <f t="shared" si="129"/>
        <v>19282.049999999996</v>
      </c>
      <c r="Z28" s="180">
        <f t="shared" si="130"/>
        <v>0</v>
      </c>
      <c r="AA28" s="180">
        <f t="shared" si="131"/>
        <v>0</v>
      </c>
      <c r="AB28" s="181">
        <f t="shared" si="132"/>
        <v>1663.0768124999995</v>
      </c>
      <c r="AC28" s="181">
        <f t="shared" si="133"/>
        <v>19956.921749999994</v>
      </c>
      <c r="AD28" s="181">
        <f t="shared" si="134"/>
        <v>0</v>
      </c>
      <c r="AE28" s="181">
        <f t="shared" si="135"/>
        <v>0</v>
      </c>
      <c r="AF28" s="181">
        <f t="shared" si="136"/>
        <v>1663.0768124999995</v>
      </c>
      <c r="AG28" s="181">
        <f t="shared" si="137"/>
        <v>19956.921749999994</v>
      </c>
      <c r="AH28" s="180">
        <f t="shared" si="138"/>
        <v>0</v>
      </c>
      <c r="AI28" s="180">
        <f t="shared" si="139"/>
        <v>0</v>
      </c>
      <c r="AJ28" s="181">
        <f t="shared" si="140"/>
        <v>1721.2845009374994</v>
      </c>
      <c r="AK28" s="181">
        <f t="shared" si="141"/>
        <v>20655.414011249992</v>
      </c>
      <c r="AL28" s="181">
        <f t="shared" si="142"/>
        <v>0</v>
      </c>
      <c r="AM28" s="181">
        <f t="shared" si="143"/>
        <v>0</v>
      </c>
      <c r="AN28" s="181">
        <f t="shared" si="144"/>
        <v>1721.2845009374994</v>
      </c>
      <c r="AO28" s="181">
        <f t="shared" si="145"/>
        <v>20655.414011249992</v>
      </c>
      <c r="AP28" s="180">
        <f t="shared" si="146"/>
        <v>0</v>
      </c>
      <c r="AQ28" s="180">
        <f t="shared" si="147"/>
        <v>0</v>
      </c>
      <c r="AR28" s="181">
        <f t="shared" si="148"/>
        <v>1781.5294584703117</v>
      </c>
      <c r="AS28" s="181">
        <f t="shared" si="149"/>
        <v>21378.353501643742</v>
      </c>
      <c r="AT28" s="181">
        <f t="shared" si="150"/>
        <v>0</v>
      </c>
      <c r="AU28" s="181">
        <f t="shared" si="151"/>
        <v>0</v>
      </c>
      <c r="AV28" s="181">
        <f t="shared" si="152"/>
        <v>1781.5294584703117</v>
      </c>
      <c r="AW28" s="181">
        <f t="shared" si="153"/>
        <v>21378.353501643742</v>
      </c>
    </row>
    <row r="29" spans="1:49" x14ac:dyDescent="0.2">
      <c r="A29" s="105" t="s">
        <v>98</v>
      </c>
      <c r="B29" s="180"/>
      <c r="C29" s="181">
        <f t="shared" si="109"/>
        <v>0</v>
      </c>
      <c r="D29" s="181"/>
      <c r="E29" s="181">
        <f t="shared" si="110"/>
        <v>0</v>
      </c>
      <c r="F29" s="185">
        <v>3000</v>
      </c>
      <c r="G29" s="181">
        <f t="shared" si="111"/>
        <v>36000</v>
      </c>
      <c r="H29" s="182">
        <f t="shared" si="112"/>
        <v>3000</v>
      </c>
      <c r="I29" s="183">
        <f t="shared" si="113"/>
        <v>36000</v>
      </c>
      <c r="J29" s="180">
        <f t="shared" si="114"/>
        <v>0</v>
      </c>
      <c r="K29" s="180">
        <f t="shared" si="115"/>
        <v>0</v>
      </c>
      <c r="L29" s="181">
        <f t="shared" si="116"/>
        <v>0</v>
      </c>
      <c r="M29" s="181">
        <f t="shared" si="117"/>
        <v>0</v>
      </c>
      <c r="N29" s="181">
        <f t="shared" si="118"/>
        <v>3104.9999999999995</v>
      </c>
      <c r="O29" s="181">
        <f t="shared" si="119"/>
        <v>37259.999999999993</v>
      </c>
      <c r="P29" s="181">
        <f t="shared" si="120"/>
        <v>3104.9999999999995</v>
      </c>
      <c r="Q29" s="181">
        <f t="shared" si="121"/>
        <v>37259.999999999993</v>
      </c>
      <c r="R29" s="180">
        <f t="shared" si="122"/>
        <v>0</v>
      </c>
      <c r="S29" s="180">
        <f t="shared" si="123"/>
        <v>0</v>
      </c>
      <c r="T29" s="181">
        <f t="shared" si="124"/>
        <v>0</v>
      </c>
      <c r="U29" s="181">
        <f t="shared" si="125"/>
        <v>0</v>
      </c>
      <c r="V29" s="181">
        <f t="shared" si="126"/>
        <v>3213.6749999999993</v>
      </c>
      <c r="W29" s="181">
        <f t="shared" si="127"/>
        <v>38564.099999999991</v>
      </c>
      <c r="X29" s="181">
        <f t="shared" si="128"/>
        <v>3213.6749999999993</v>
      </c>
      <c r="Y29" s="181">
        <f t="shared" si="129"/>
        <v>38564.099999999991</v>
      </c>
      <c r="Z29" s="180">
        <f t="shared" si="130"/>
        <v>0</v>
      </c>
      <c r="AA29" s="180">
        <f t="shared" si="131"/>
        <v>0</v>
      </c>
      <c r="AB29" s="181">
        <f t="shared" si="132"/>
        <v>0</v>
      </c>
      <c r="AC29" s="181">
        <f t="shared" si="133"/>
        <v>0</v>
      </c>
      <c r="AD29" s="181">
        <f t="shared" si="134"/>
        <v>3326.153624999999</v>
      </c>
      <c r="AE29" s="181">
        <f t="shared" si="135"/>
        <v>39913.843499999988</v>
      </c>
      <c r="AF29" s="181">
        <f t="shared" si="136"/>
        <v>3326.153624999999</v>
      </c>
      <c r="AG29" s="181">
        <f t="shared" si="137"/>
        <v>39913.843499999988</v>
      </c>
      <c r="AH29" s="180">
        <f t="shared" si="138"/>
        <v>0</v>
      </c>
      <c r="AI29" s="180">
        <f t="shared" si="139"/>
        <v>0</v>
      </c>
      <c r="AJ29" s="181">
        <f t="shared" si="140"/>
        <v>0</v>
      </c>
      <c r="AK29" s="181">
        <f t="shared" si="141"/>
        <v>0</v>
      </c>
      <c r="AL29" s="181">
        <f t="shared" si="142"/>
        <v>3442.5690018749988</v>
      </c>
      <c r="AM29" s="181">
        <f t="shared" si="143"/>
        <v>41310.828022499983</v>
      </c>
      <c r="AN29" s="181">
        <f t="shared" si="144"/>
        <v>3442.5690018749988</v>
      </c>
      <c r="AO29" s="181">
        <f t="shared" si="145"/>
        <v>41310.828022499983</v>
      </c>
      <c r="AP29" s="180">
        <f t="shared" si="146"/>
        <v>0</v>
      </c>
      <c r="AQ29" s="180">
        <f t="shared" si="147"/>
        <v>0</v>
      </c>
      <c r="AR29" s="181">
        <f t="shared" si="148"/>
        <v>0</v>
      </c>
      <c r="AS29" s="181">
        <f t="shared" si="149"/>
        <v>0</v>
      </c>
      <c r="AT29" s="181">
        <f t="shared" si="150"/>
        <v>3563.0589169406235</v>
      </c>
      <c r="AU29" s="181">
        <f t="shared" si="151"/>
        <v>42756.707003287484</v>
      </c>
      <c r="AV29" s="181">
        <f t="shared" si="152"/>
        <v>3563.0589169406235</v>
      </c>
      <c r="AW29" s="181">
        <f t="shared" si="153"/>
        <v>42756.707003287484</v>
      </c>
    </row>
    <row r="30" spans="1:49" x14ac:dyDescent="0.2">
      <c r="A30" s="105" t="s">
        <v>179</v>
      </c>
      <c r="B30" s="180"/>
      <c r="C30" s="181">
        <f t="shared" si="109"/>
        <v>0</v>
      </c>
      <c r="D30" s="181"/>
      <c r="E30" s="181">
        <f t="shared" si="110"/>
        <v>0</v>
      </c>
      <c r="F30" s="184">
        <v>1000</v>
      </c>
      <c r="G30" s="181">
        <f t="shared" si="111"/>
        <v>12000</v>
      </c>
      <c r="H30" s="182">
        <f t="shared" si="112"/>
        <v>1000</v>
      </c>
      <c r="I30" s="183">
        <f t="shared" si="113"/>
        <v>12000</v>
      </c>
      <c r="J30" s="180">
        <f t="shared" si="114"/>
        <v>0</v>
      </c>
      <c r="K30" s="180">
        <f t="shared" si="115"/>
        <v>0</v>
      </c>
      <c r="L30" s="181">
        <f t="shared" si="116"/>
        <v>0</v>
      </c>
      <c r="M30" s="181">
        <f t="shared" si="117"/>
        <v>0</v>
      </c>
      <c r="N30" s="181">
        <f t="shared" si="118"/>
        <v>1035</v>
      </c>
      <c r="O30" s="181">
        <f t="shared" si="119"/>
        <v>12420</v>
      </c>
      <c r="P30" s="181">
        <f t="shared" si="120"/>
        <v>1035</v>
      </c>
      <c r="Q30" s="181">
        <f t="shared" si="121"/>
        <v>12420</v>
      </c>
      <c r="R30" s="180">
        <f t="shared" si="122"/>
        <v>0</v>
      </c>
      <c r="S30" s="180">
        <f t="shared" si="123"/>
        <v>0</v>
      </c>
      <c r="T30" s="181">
        <f t="shared" si="124"/>
        <v>0</v>
      </c>
      <c r="U30" s="181">
        <f t="shared" si="125"/>
        <v>0</v>
      </c>
      <c r="V30" s="181">
        <f t="shared" si="126"/>
        <v>1071.2249999999999</v>
      </c>
      <c r="W30" s="181">
        <f t="shared" si="127"/>
        <v>12854.699999999999</v>
      </c>
      <c r="X30" s="181">
        <f t="shared" si="128"/>
        <v>1071.2249999999999</v>
      </c>
      <c r="Y30" s="181">
        <f t="shared" si="129"/>
        <v>12854.699999999999</v>
      </c>
      <c r="Z30" s="180">
        <f t="shared" si="130"/>
        <v>0</v>
      </c>
      <c r="AA30" s="180">
        <f t="shared" si="131"/>
        <v>0</v>
      </c>
      <c r="AB30" s="181">
        <f t="shared" si="132"/>
        <v>0</v>
      </c>
      <c r="AC30" s="181">
        <f t="shared" si="133"/>
        <v>0</v>
      </c>
      <c r="AD30" s="181">
        <f t="shared" si="134"/>
        <v>1108.7178749999998</v>
      </c>
      <c r="AE30" s="181">
        <f t="shared" si="135"/>
        <v>13304.614499999998</v>
      </c>
      <c r="AF30" s="181">
        <f t="shared" si="136"/>
        <v>1108.7178749999998</v>
      </c>
      <c r="AG30" s="181">
        <f t="shared" si="137"/>
        <v>13304.614499999998</v>
      </c>
      <c r="AH30" s="180">
        <f t="shared" si="138"/>
        <v>0</v>
      </c>
      <c r="AI30" s="180">
        <f t="shared" si="139"/>
        <v>0</v>
      </c>
      <c r="AJ30" s="181">
        <f t="shared" si="140"/>
        <v>0</v>
      </c>
      <c r="AK30" s="181">
        <f t="shared" si="141"/>
        <v>0</v>
      </c>
      <c r="AL30" s="181">
        <f t="shared" si="142"/>
        <v>1147.5230006249997</v>
      </c>
      <c r="AM30" s="181">
        <f t="shared" si="143"/>
        <v>13770.276007499997</v>
      </c>
      <c r="AN30" s="181">
        <f t="shared" si="144"/>
        <v>1147.5230006249997</v>
      </c>
      <c r="AO30" s="181">
        <f t="shared" si="145"/>
        <v>13770.276007499997</v>
      </c>
      <c r="AP30" s="180">
        <f t="shared" si="146"/>
        <v>0</v>
      </c>
      <c r="AQ30" s="180">
        <f t="shared" si="147"/>
        <v>0</v>
      </c>
      <c r="AR30" s="181">
        <f t="shared" si="148"/>
        <v>0</v>
      </c>
      <c r="AS30" s="181">
        <f t="shared" si="149"/>
        <v>0</v>
      </c>
      <c r="AT30" s="181">
        <f t="shared" si="150"/>
        <v>1187.6863056468746</v>
      </c>
      <c r="AU30" s="181">
        <f t="shared" si="151"/>
        <v>14252.235667762496</v>
      </c>
      <c r="AV30" s="181">
        <f t="shared" si="152"/>
        <v>1187.6863056468746</v>
      </c>
      <c r="AW30" s="181">
        <f t="shared" si="153"/>
        <v>14252.235667762496</v>
      </c>
    </row>
    <row r="31" spans="1:49" ht="15.75" thickBot="1" x14ac:dyDescent="0.25">
      <c r="A31" s="105" t="s">
        <v>180</v>
      </c>
      <c r="B31" s="186">
        <f>Depreciación!J14</f>
        <v>2219.6296296296296</v>
      </c>
      <c r="C31" s="181">
        <f t="shared" si="109"/>
        <v>26635.555555555555</v>
      </c>
      <c r="D31" s="187">
        <f>Depreciación!J24</f>
        <v>576.875</v>
      </c>
      <c r="E31" s="181">
        <f t="shared" si="110"/>
        <v>6922.5</v>
      </c>
      <c r="F31" s="187">
        <f>Depreciación!J34</f>
        <v>1366.4675925925924</v>
      </c>
      <c r="G31" s="181">
        <f t="shared" si="111"/>
        <v>16397.611111111109</v>
      </c>
      <c r="H31" s="182">
        <f t="shared" si="112"/>
        <v>4162.9722222222217</v>
      </c>
      <c r="I31" s="183">
        <f t="shared" si="113"/>
        <v>49955.666666666664</v>
      </c>
      <c r="J31" s="180">
        <f t="shared" si="114"/>
        <v>2297.3166666666666</v>
      </c>
      <c r="K31" s="180">
        <f t="shared" si="115"/>
        <v>27567.8</v>
      </c>
      <c r="L31" s="181">
        <f t="shared" si="116"/>
        <v>597.06562499999995</v>
      </c>
      <c r="M31" s="187">
        <v>12000</v>
      </c>
      <c r="N31" s="181">
        <f t="shared" si="118"/>
        <v>1414.293958333333</v>
      </c>
      <c r="O31" s="181">
        <f t="shared" si="119"/>
        <v>16971.527499999997</v>
      </c>
      <c r="P31" s="181">
        <f t="shared" si="120"/>
        <v>4308.6762499999995</v>
      </c>
      <c r="Q31" s="181">
        <f>K31+M31+O31</f>
        <v>56539.327499999999</v>
      </c>
      <c r="R31" s="180">
        <f t="shared" si="122"/>
        <v>2377.7227499999999</v>
      </c>
      <c r="S31" s="180">
        <f t="shared" si="123"/>
        <v>28532.672999999999</v>
      </c>
      <c r="T31" s="181">
        <f t="shared" si="124"/>
        <v>617.96292187499989</v>
      </c>
      <c r="U31" s="187">
        <v>12001</v>
      </c>
      <c r="V31" s="181">
        <f t="shared" si="126"/>
        <v>1463.7942468749995</v>
      </c>
      <c r="W31" s="181">
        <f t="shared" si="127"/>
        <v>17565.530962499994</v>
      </c>
      <c r="X31" s="181">
        <f t="shared" si="128"/>
        <v>4459.4799187499993</v>
      </c>
      <c r="Y31" s="181">
        <f>S31+U31+W31</f>
        <v>58099.203962499989</v>
      </c>
      <c r="Z31" s="180">
        <f t="shared" si="130"/>
        <v>2460.9430462499995</v>
      </c>
      <c r="AA31" s="180">
        <f t="shared" si="131"/>
        <v>29531.316554999994</v>
      </c>
      <c r="AB31" s="181">
        <f t="shared" si="132"/>
        <v>639.59162414062484</v>
      </c>
      <c r="AC31" s="187">
        <v>12002</v>
      </c>
      <c r="AD31" s="181">
        <f t="shared" si="134"/>
        <v>1515.0270455156244</v>
      </c>
      <c r="AE31" s="181">
        <f t="shared" si="135"/>
        <v>18180.324546187494</v>
      </c>
      <c r="AF31" s="181">
        <f t="shared" si="136"/>
        <v>4615.5617159062485</v>
      </c>
      <c r="AG31" s="181">
        <f>AA31+AC31+AE31</f>
        <v>59713.641101187488</v>
      </c>
      <c r="AH31" s="180">
        <f t="shared" si="138"/>
        <v>2547.0760528687492</v>
      </c>
      <c r="AI31" s="180">
        <f t="shared" si="139"/>
        <v>30564.912634424989</v>
      </c>
      <c r="AJ31" s="181">
        <f t="shared" si="140"/>
        <v>661.9773309855467</v>
      </c>
      <c r="AK31" s="187">
        <v>12002</v>
      </c>
      <c r="AL31" s="181">
        <f t="shared" si="142"/>
        <v>1568.0529921086711</v>
      </c>
      <c r="AM31" s="181">
        <f t="shared" si="143"/>
        <v>18816.635905304054</v>
      </c>
      <c r="AN31" s="181">
        <f t="shared" si="144"/>
        <v>4777.1063759629669</v>
      </c>
      <c r="AO31" s="181">
        <f>AI31+AK31+AM31</f>
        <v>61383.548539729047</v>
      </c>
      <c r="AP31" s="180">
        <f t="shared" si="146"/>
        <v>2636.2237147191554</v>
      </c>
      <c r="AQ31" s="180">
        <f t="shared" si="147"/>
        <v>31634.684576629865</v>
      </c>
      <c r="AR31" s="181">
        <f t="shared" si="148"/>
        <v>685.14653757004078</v>
      </c>
      <c r="AS31" s="187">
        <v>12003</v>
      </c>
      <c r="AT31" s="181">
        <f t="shared" si="150"/>
        <v>1622.9348468324745</v>
      </c>
      <c r="AU31" s="181">
        <f t="shared" si="151"/>
        <v>19475.218161989695</v>
      </c>
      <c r="AV31" s="181">
        <f t="shared" si="152"/>
        <v>4944.3050991216705</v>
      </c>
      <c r="AW31" s="181">
        <f>AQ31+AS31+AU31</f>
        <v>63112.902738619559</v>
      </c>
    </row>
    <row r="32" spans="1:49" ht="20.25" thickTop="1" thickBot="1" x14ac:dyDescent="0.35">
      <c r="A32" s="115" t="s">
        <v>181</v>
      </c>
      <c r="B32" s="116">
        <f>B23+B21</f>
        <v>41369.629629629628</v>
      </c>
      <c r="C32" s="116">
        <f t="shared" ref="C32:I32" si="154">C23+C21</f>
        <v>496435.55555555556</v>
      </c>
      <c r="D32" s="116">
        <f t="shared" si="154"/>
        <v>33926.875</v>
      </c>
      <c r="E32" s="116">
        <f t="shared" si="154"/>
        <v>407122.5</v>
      </c>
      <c r="F32" s="116">
        <f t="shared" si="154"/>
        <v>75866.467592592599</v>
      </c>
      <c r="G32" s="116">
        <f t="shared" si="154"/>
        <v>910397.61111111112</v>
      </c>
      <c r="H32" s="116">
        <f t="shared" si="154"/>
        <v>151162.97222222222</v>
      </c>
      <c r="I32" s="116">
        <f t="shared" si="154"/>
        <v>1813955.6666666667</v>
      </c>
      <c r="J32" s="116">
        <f>J23+J21</f>
        <v>42817.566666666666</v>
      </c>
      <c r="K32" s="116">
        <f t="shared" ref="K32:Q32" si="155">K23+K21</f>
        <v>513810.8</v>
      </c>
      <c r="L32" s="116">
        <f t="shared" si="155"/>
        <v>35114.315625000003</v>
      </c>
      <c r="M32" s="116">
        <f t="shared" si="155"/>
        <v>426207</v>
      </c>
      <c r="N32" s="116">
        <f t="shared" si="155"/>
        <v>78521.793958333335</v>
      </c>
      <c r="O32" s="116">
        <f t="shared" si="155"/>
        <v>942261.52749999997</v>
      </c>
      <c r="P32" s="116">
        <f t="shared" si="155"/>
        <v>156453.67624999999</v>
      </c>
      <c r="Q32" s="116">
        <f t="shared" si="155"/>
        <v>1882279.3274999999</v>
      </c>
      <c r="R32" s="116">
        <f>R23+R21</f>
        <v>44316.181499999999</v>
      </c>
      <c r="S32" s="116">
        <f t="shared" ref="S32:Y32" si="156">S23+S21</f>
        <v>531794.17799999996</v>
      </c>
      <c r="T32" s="116">
        <f t="shared" si="156"/>
        <v>36343.316671875</v>
      </c>
      <c r="U32" s="116">
        <f t="shared" si="156"/>
        <v>440705.245</v>
      </c>
      <c r="V32" s="116">
        <f t="shared" si="156"/>
        <v>81270.056746874994</v>
      </c>
      <c r="W32" s="116">
        <f t="shared" si="156"/>
        <v>975240.68096249981</v>
      </c>
      <c r="X32" s="116">
        <f t="shared" si="156"/>
        <v>161929.55491874999</v>
      </c>
      <c r="Y32" s="116">
        <f t="shared" si="156"/>
        <v>1947740.1039625001</v>
      </c>
      <c r="Z32" s="116">
        <f>Z23+Z21</f>
        <v>45867.247852499997</v>
      </c>
      <c r="AA32" s="116">
        <f t="shared" ref="AA32:AG32" si="157">AA23+AA21</f>
        <v>550406.97422999993</v>
      </c>
      <c r="AB32" s="116">
        <f t="shared" si="157"/>
        <v>37615.332755390627</v>
      </c>
      <c r="AC32" s="116">
        <f t="shared" si="157"/>
        <v>455710.89357499988</v>
      </c>
      <c r="AD32" s="116">
        <f t="shared" si="157"/>
        <v>84114.508733015624</v>
      </c>
      <c r="AE32" s="116">
        <f t="shared" si="157"/>
        <v>1009374.1047961873</v>
      </c>
      <c r="AF32" s="116">
        <f t="shared" si="157"/>
        <v>167597.08934090621</v>
      </c>
      <c r="AG32" s="116">
        <f t="shared" si="157"/>
        <v>2015491.9726011869</v>
      </c>
      <c r="AH32" s="116">
        <f>AH23+AH21</f>
        <v>47472.601527337487</v>
      </c>
      <c r="AI32" s="116">
        <f t="shared" ref="AI32:AO32" si="158">AI23+AI21</f>
        <v>569671.21832804987</v>
      </c>
      <c r="AJ32" s="116">
        <f t="shared" si="158"/>
        <v>38931.869401829288</v>
      </c>
      <c r="AK32" s="116">
        <f t="shared" si="158"/>
        <v>471240.70485012489</v>
      </c>
      <c r="AL32" s="116">
        <f t="shared" si="158"/>
        <v>87058.51653867116</v>
      </c>
      <c r="AM32" s="116">
        <f t="shared" si="158"/>
        <v>1044702.1984640538</v>
      </c>
      <c r="AN32" s="116">
        <f t="shared" si="158"/>
        <v>173462.98746783793</v>
      </c>
      <c r="AO32" s="116">
        <f t="shared" si="158"/>
        <v>2085614.1216422287</v>
      </c>
      <c r="AP32" s="116">
        <f>AP23+AP21</f>
        <v>49134.142580794301</v>
      </c>
      <c r="AQ32" s="116">
        <f t="shared" ref="AQ32:AW32" si="159">AQ23+AQ21</f>
        <v>589609.71096953168</v>
      </c>
      <c r="AR32" s="116">
        <f t="shared" si="159"/>
        <v>40294.484830893314</v>
      </c>
      <c r="AS32" s="116">
        <f t="shared" si="159"/>
        <v>487315.05951987923</v>
      </c>
      <c r="AT32" s="116">
        <f t="shared" si="159"/>
        <v>90105.564617524637</v>
      </c>
      <c r="AU32" s="116">
        <f t="shared" si="159"/>
        <v>1081266.7754102957</v>
      </c>
      <c r="AV32" s="116">
        <f t="shared" si="159"/>
        <v>179534.19202921225</v>
      </c>
      <c r="AW32" s="116">
        <f t="shared" si="159"/>
        <v>2158191.5458997064</v>
      </c>
    </row>
    <row r="33" spans="1:49" ht="15.75" thickTop="1" x14ac:dyDescent="0.2">
      <c r="A33" s="76"/>
      <c r="B33" s="101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</row>
    <row r="34" spans="1:49" x14ac:dyDescent="0.2">
      <c r="A34" s="76"/>
      <c r="B34" s="101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</row>
    <row r="35" spans="1:49" ht="18.75" x14ac:dyDescent="0.3">
      <c r="A35" s="271" t="s">
        <v>182</v>
      </c>
      <c r="B35" s="272"/>
      <c r="C35" s="272"/>
      <c r="D35" s="272"/>
      <c r="E35" s="272"/>
      <c r="F35" s="272"/>
      <c r="G35" s="272"/>
      <c r="H35" s="272"/>
      <c r="I35" s="273"/>
      <c r="J35" s="260" t="s">
        <v>183</v>
      </c>
      <c r="K35" s="260"/>
      <c r="L35" s="260"/>
      <c r="M35" s="260"/>
      <c r="N35" s="260"/>
      <c r="O35" s="260"/>
      <c r="P35" s="260"/>
      <c r="Q35" s="260"/>
      <c r="R35" s="260" t="s">
        <v>184</v>
      </c>
      <c r="S35" s="260"/>
      <c r="T35" s="260"/>
      <c r="U35" s="260"/>
      <c r="V35" s="260"/>
      <c r="W35" s="260"/>
      <c r="X35" s="260"/>
      <c r="Y35" s="260"/>
      <c r="Z35" s="260" t="s">
        <v>185</v>
      </c>
      <c r="AA35" s="260"/>
      <c r="AB35" s="260"/>
      <c r="AC35" s="260"/>
      <c r="AD35" s="260"/>
      <c r="AE35" s="260"/>
      <c r="AF35" s="260"/>
      <c r="AG35" s="260"/>
      <c r="AH35" s="260" t="s">
        <v>186</v>
      </c>
      <c r="AI35" s="260"/>
      <c r="AJ35" s="260"/>
      <c r="AK35" s="260"/>
      <c r="AL35" s="260"/>
      <c r="AM35" s="260"/>
      <c r="AN35" s="260"/>
      <c r="AO35" s="260"/>
      <c r="AP35" s="260" t="s">
        <v>187</v>
      </c>
      <c r="AQ35" s="260"/>
      <c r="AR35" s="260"/>
      <c r="AS35" s="260"/>
      <c r="AT35" s="260"/>
      <c r="AU35" s="260"/>
      <c r="AV35" s="260"/>
      <c r="AW35" s="260"/>
    </row>
    <row r="36" spans="1:49" x14ac:dyDescent="0.2">
      <c r="A36" s="117" t="s">
        <v>188</v>
      </c>
      <c r="B36" s="169"/>
      <c r="C36" s="169"/>
      <c r="D36" s="169"/>
      <c r="E36" s="169"/>
      <c r="F36" s="169"/>
      <c r="G36" s="169"/>
      <c r="H36" s="118">
        <f>H32</f>
        <v>151162.97222222222</v>
      </c>
      <c r="I36" s="119">
        <f>I32</f>
        <v>1813955.6666666667</v>
      </c>
      <c r="J36" s="76"/>
      <c r="K36" s="76"/>
      <c r="L36" s="76"/>
      <c r="M36" s="76"/>
      <c r="N36" s="76"/>
      <c r="O36" s="101" t="s">
        <v>189</v>
      </c>
      <c r="P36" s="118">
        <f>P32</f>
        <v>156453.67624999999</v>
      </c>
      <c r="Q36" s="119">
        <f>Q32</f>
        <v>1882279.3274999999</v>
      </c>
      <c r="R36" s="76"/>
      <c r="S36" s="76"/>
      <c r="T36" s="76"/>
      <c r="U36" s="76"/>
      <c r="V36" s="76"/>
      <c r="W36" s="101" t="s">
        <v>189</v>
      </c>
      <c r="X36" s="118">
        <f>X32</f>
        <v>161929.55491874999</v>
      </c>
      <c r="Y36" s="119">
        <f>Y32</f>
        <v>1947740.1039625001</v>
      </c>
      <c r="Z36" s="76"/>
      <c r="AA36" s="76"/>
      <c r="AB36" s="76"/>
      <c r="AC36" s="76"/>
      <c r="AD36" s="76"/>
      <c r="AE36" s="101" t="s">
        <v>189</v>
      </c>
      <c r="AF36" s="118">
        <f>AF32</f>
        <v>167597.08934090621</v>
      </c>
      <c r="AG36" s="119">
        <f>AG32</f>
        <v>2015491.9726011869</v>
      </c>
      <c r="AH36" s="76"/>
      <c r="AI36" s="76"/>
      <c r="AJ36" s="76"/>
      <c r="AK36" s="76"/>
      <c r="AL36" s="76"/>
      <c r="AM36" s="101" t="s">
        <v>189</v>
      </c>
      <c r="AN36" s="118">
        <f>AN32</f>
        <v>173462.98746783793</v>
      </c>
      <c r="AO36" s="119">
        <f>AO32</f>
        <v>2085614.1216422287</v>
      </c>
      <c r="AP36" s="76"/>
      <c r="AQ36" s="76"/>
      <c r="AR36" s="76"/>
      <c r="AS36" s="76"/>
      <c r="AT36" s="76"/>
      <c r="AU36" s="101" t="s">
        <v>189</v>
      </c>
      <c r="AV36" s="118">
        <f>AV32</f>
        <v>179534.19202921225</v>
      </c>
      <c r="AW36" s="119">
        <f>AW32</f>
        <v>2158191.5458997064</v>
      </c>
    </row>
    <row r="37" spans="1:49" x14ac:dyDescent="0.2">
      <c r="A37" s="76" t="s">
        <v>190</v>
      </c>
      <c r="B37" s="76"/>
      <c r="C37" s="76"/>
      <c r="D37" s="76"/>
      <c r="E37" s="76"/>
      <c r="F37" s="76"/>
      <c r="G37" s="76"/>
      <c r="H37" s="188">
        <f>H36/$B$11</f>
        <v>30.232594444444445</v>
      </c>
      <c r="I37" s="188">
        <f>I36/$B$11</f>
        <v>362.79113333333333</v>
      </c>
      <c r="J37" s="76"/>
      <c r="K37" s="76"/>
      <c r="L37" s="76"/>
      <c r="M37" s="76"/>
      <c r="N37" s="76"/>
      <c r="O37" s="76"/>
      <c r="P37" s="188">
        <f>P36/$B$11</f>
        <v>31.290735249999997</v>
      </c>
      <c r="Q37" s="188">
        <f>Q36/$B$11</f>
        <v>376.45586549999996</v>
      </c>
      <c r="R37" s="76"/>
      <c r="S37" s="76"/>
      <c r="T37" s="76"/>
      <c r="U37" s="76"/>
      <c r="V37" s="76"/>
      <c r="W37" s="76"/>
      <c r="X37" s="188">
        <f>X36/$B$11</f>
        <v>32.385910983749994</v>
      </c>
      <c r="Y37" s="188">
        <f>Y36/$B$11</f>
        <v>389.54802079250004</v>
      </c>
      <c r="Z37" s="76"/>
      <c r="AA37" s="76"/>
      <c r="AB37" s="76"/>
      <c r="AC37" s="76"/>
      <c r="AD37" s="76"/>
      <c r="AE37" s="76"/>
      <c r="AF37" s="188">
        <f>AF36/$B$11</f>
        <v>33.519417868181243</v>
      </c>
      <c r="AG37" s="188">
        <f>AG36/$B$11</f>
        <v>403.09839452023738</v>
      </c>
      <c r="AH37" s="76"/>
      <c r="AI37" s="76"/>
      <c r="AJ37" s="76"/>
      <c r="AK37" s="76"/>
      <c r="AL37" s="76"/>
      <c r="AM37" s="76"/>
      <c r="AN37" s="188">
        <f>AN36/$B$11</f>
        <v>34.692597493567582</v>
      </c>
      <c r="AO37" s="188">
        <f>AO36/$B$11</f>
        <v>417.12282432844574</v>
      </c>
      <c r="AP37" s="76"/>
      <c r="AQ37" s="76"/>
      <c r="AR37" s="76"/>
      <c r="AS37" s="76"/>
      <c r="AT37" s="76"/>
      <c r="AU37" s="76"/>
      <c r="AV37" s="188">
        <f>AV36/$B$11</f>
        <v>35.90683840584245</v>
      </c>
      <c r="AW37" s="188">
        <f>AW36/$B$11</f>
        <v>431.6383091799413</v>
      </c>
    </row>
    <row r="38" spans="1:49" x14ac:dyDescent="0.2">
      <c r="A38" s="120" t="s">
        <v>191</v>
      </c>
      <c r="B38" s="170"/>
      <c r="C38" s="170"/>
      <c r="D38" s="170"/>
      <c r="E38" s="170"/>
      <c r="F38" s="170"/>
      <c r="G38" s="170"/>
      <c r="H38" s="134">
        <v>0.56699999999999995</v>
      </c>
      <c r="I38" s="134">
        <f>H38</f>
        <v>0.56699999999999995</v>
      </c>
      <c r="J38" s="76"/>
      <c r="K38" s="101"/>
      <c r="L38" s="76"/>
      <c r="M38" s="76"/>
      <c r="N38" s="76" t="s">
        <v>191</v>
      </c>
      <c r="O38" s="76"/>
      <c r="P38" s="134">
        <v>0.56699999999999995</v>
      </c>
      <c r="Q38" s="134">
        <f>P38</f>
        <v>0.56699999999999995</v>
      </c>
      <c r="R38" s="76"/>
      <c r="S38" s="101"/>
      <c r="T38" s="76"/>
      <c r="U38" s="76"/>
      <c r="V38" s="76" t="s">
        <v>191</v>
      </c>
      <c r="W38" s="76"/>
      <c r="X38" s="134">
        <v>0.56699999999999995</v>
      </c>
      <c r="Y38" s="134">
        <f>X38</f>
        <v>0.56699999999999995</v>
      </c>
      <c r="Z38" s="76"/>
      <c r="AA38" s="101"/>
      <c r="AB38" s="76"/>
      <c r="AC38" s="76"/>
      <c r="AD38" s="76" t="s">
        <v>191</v>
      </c>
      <c r="AE38" s="76"/>
      <c r="AF38" s="134">
        <v>0.56699999999999995</v>
      </c>
      <c r="AG38" s="134">
        <f>AF38</f>
        <v>0.56699999999999995</v>
      </c>
      <c r="AH38" s="76"/>
      <c r="AI38" s="101"/>
      <c r="AJ38" s="76"/>
      <c r="AK38" s="76"/>
      <c r="AL38" s="76" t="s">
        <v>191</v>
      </c>
      <c r="AM38" s="76"/>
      <c r="AN38" s="134">
        <v>0.56699999999999995</v>
      </c>
      <c r="AO38" s="134">
        <f>AN38</f>
        <v>0.56699999999999995</v>
      </c>
      <c r="AP38" s="76"/>
      <c r="AQ38" s="101"/>
      <c r="AR38" s="76"/>
      <c r="AS38" s="76"/>
      <c r="AT38" s="76" t="s">
        <v>191</v>
      </c>
      <c r="AU38" s="76"/>
      <c r="AV38" s="134">
        <v>0.56699999999999995</v>
      </c>
      <c r="AW38" s="134">
        <f>AV38</f>
        <v>0.56699999999999995</v>
      </c>
    </row>
    <row r="39" spans="1:49" x14ac:dyDescent="0.2">
      <c r="A39" s="122" t="s">
        <v>192</v>
      </c>
      <c r="B39" s="170"/>
      <c r="C39" s="170"/>
      <c r="D39" s="170"/>
      <c r="E39" s="170"/>
      <c r="F39" s="170"/>
      <c r="G39" s="170"/>
      <c r="H39" s="189">
        <f>(H37)/(1-H38)</f>
        <v>69.821234282781617</v>
      </c>
      <c r="I39" s="189">
        <f>(I37)/(1-I38)</f>
        <v>837.85481139337946</v>
      </c>
      <c r="J39" s="101"/>
      <c r="K39" s="101"/>
      <c r="L39" s="76"/>
      <c r="M39" s="76" t="s">
        <v>193</v>
      </c>
      <c r="N39" s="76"/>
      <c r="O39" s="101"/>
      <c r="P39" s="189">
        <f>(P37)/(1-P38)</f>
        <v>72.264977482678972</v>
      </c>
      <c r="Q39" s="189">
        <f>(Q37)/(1-Q38)</f>
        <v>869.41308429561184</v>
      </c>
      <c r="R39" s="101"/>
      <c r="S39" s="101"/>
      <c r="T39" s="76"/>
      <c r="U39" s="76" t="s">
        <v>193</v>
      </c>
      <c r="V39" s="76"/>
      <c r="W39" s="101"/>
      <c r="X39" s="189">
        <f>(X37)/(1-X38)</f>
        <v>74.794251694572722</v>
      </c>
      <c r="Y39" s="189">
        <f>(Y37)/(1-Y38)</f>
        <v>899.64900875866044</v>
      </c>
      <c r="Z39" s="101"/>
      <c r="AA39" s="101"/>
      <c r="AB39" s="76"/>
      <c r="AC39" s="76" t="s">
        <v>193</v>
      </c>
      <c r="AD39" s="76"/>
      <c r="AE39" s="101"/>
      <c r="AF39" s="189">
        <f>(AF37)/(1-AF38)</f>
        <v>77.412050503882767</v>
      </c>
      <c r="AG39" s="189">
        <f>(AG37)/(1-AG38)</f>
        <v>930.94317441163355</v>
      </c>
      <c r="AH39" s="101"/>
      <c r="AI39" s="101"/>
      <c r="AJ39" s="76"/>
      <c r="AK39" s="76" t="s">
        <v>193</v>
      </c>
      <c r="AL39" s="76"/>
      <c r="AM39" s="101"/>
      <c r="AN39" s="189">
        <f>(AN37)/(1-AN38)</f>
        <v>80.121472271518655</v>
      </c>
      <c r="AO39" s="189">
        <f>(AO37)/(1-AO38)</f>
        <v>963.33215780241505</v>
      </c>
      <c r="AP39" s="101"/>
      <c r="AQ39" s="101"/>
      <c r="AR39" s="76"/>
      <c r="AS39" s="76" t="s">
        <v>193</v>
      </c>
      <c r="AT39" s="76"/>
      <c r="AU39" s="101"/>
      <c r="AV39" s="189">
        <f>(AV37)/(1-AV38)</f>
        <v>82.925723801021817</v>
      </c>
      <c r="AW39" s="189">
        <f>(AW37)/(1-AW38)</f>
        <v>996.85521750563794</v>
      </c>
    </row>
    <row r="40" spans="1:49" x14ac:dyDescent="0.2">
      <c r="A40" s="120"/>
      <c r="B40" s="170"/>
      <c r="C40" s="170"/>
      <c r="D40" s="170"/>
      <c r="E40" s="170"/>
      <c r="F40" s="170"/>
      <c r="G40" s="170"/>
      <c r="H40" s="76"/>
      <c r="I40" s="121"/>
      <c r="J40" s="101"/>
      <c r="K40" s="101"/>
      <c r="L40" s="76"/>
      <c r="M40" s="76"/>
      <c r="N40" s="76"/>
      <c r="O40" s="76"/>
      <c r="P40" s="76"/>
      <c r="Q40" s="121"/>
      <c r="R40" s="101"/>
      <c r="S40" s="101"/>
      <c r="T40" s="76"/>
      <c r="U40" s="76"/>
      <c r="V40" s="76"/>
      <c r="W40" s="76"/>
      <c r="X40" s="76"/>
      <c r="Y40" s="121"/>
      <c r="Z40" s="101"/>
      <c r="AA40" s="101"/>
      <c r="AB40" s="76"/>
      <c r="AC40" s="76"/>
      <c r="AD40" s="76"/>
      <c r="AE40" s="76"/>
      <c r="AF40" s="76"/>
      <c r="AG40" s="121"/>
      <c r="AH40" s="101"/>
      <c r="AI40" s="101"/>
      <c r="AJ40" s="76"/>
      <c r="AK40" s="76"/>
      <c r="AL40" s="76"/>
      <c r="AM40" s="76"/>
      <c r="AN40" s="76"/>
      <c r="AO40" s="121"/>
      <c r="AP40" s="101"/>
      <c r="AQ40" s="101"/>
      <c r="AR40" s="76"/>
      <c r="AS40" s="76"/>
      <c r="AT40" s="76"/>
      <c r="AU40" s="76"/>
      <c r="AV40" s="76"/>
      <c r="AW40" s="121"/>
    </row>
    <row r="41" spans="1:49" x14ac:dyDescent="0.2">
      <c r="A41" s="123" t="s">
        <v>194</v>
      </c>
      <c r="B41" s="171"/>
      <c r="C41" s="171"/>
      <c r="D41" s="171"/>
      <c r="E41" s="171"/>
      <c r="F41" s="171"/>
      <c r="G41" s="171"/>
      <c r="H41" s="126">
        <v>70</v>
      </c>
      <c r="I41" s="127">
        <f>H41*12</f>
        <v>840</v>
      </c>
      <c r="J41" s="128"/>
      <c r="K41" s="124"/>
      <c r="L41" s="125"/>
      <c r="M41" s="125" t="s">
        <v>195</v>
      </c>
      <c r="N41" s="125"/>
      <c r="O41" s="125"/>
      <c r="P41" s="190">
        <f>H41*(1+$D$2)</f>
        <v>72.449999999999989</v>
      </c>
      <c r="Q41" s="191">
        <f>P41*12</f>
        <v>869.39999999999986</v>
      </c>
      <c r="R41" s="128"/>
      <c r="S41" s="124"/>
      <c r="T41" s="125"/>
      <c r="U41" s="125" t="s">
        <v>195</v>
      </c>
      <c r="V41" s="125"/>
      <c r="W41" s="125"/>
      <c r="X41" s="190">
        <f>P41*(1+$D$2)</f>
        <v>74.985749999999982</v>
      </c>
      <c r="Y41" s="191">
        <f>X41*12</f>
        <v>899.82899999999972</v>
      </c>
      <c r="Z41" s="128"/>
      <c r="AA41" s="124"/>
      <c r="AB41" s="125"/>
      <c r="AC41" s="125" t="s">
        <v>195</v>
      </c>
      <c r="AD41" s="125"/>
      <c r="AE41" s="125"/>
      <c r="AF41" s="190">
        <f>X41*(1+$D$2)</f>
        <v>77.610251249999976</v>
      </c>
      <c r="AG41" s="191">
        <f>AF41*12</f>
        <v>931.32301499999971</v>
      </c>
      <c r="AH41" s="128"/>
      <c r="AI41" s="124"/>
      <c r="AJ41" s="125"/>
      <c r="AK41" s="125" t="s">
        <v>195</v>
      </c>
      <c r="AL41" s="125"/>
      <c r="AM41" s="125"/>
      <c r="AN41" s="190">
        <f>AF41*(1+$D$2)</f>
        <v>80.326610043749966</v>
      </c>
      <c r="AO41" s="191">
        <f>AN41*12</f>
        <v>963.91932052499965</v>
      </c>
      <c r="AP41" s="128"/>
      <c r="AQ41" s="124"/>
      <c r="AR41" s="125"/>
      <c r="AS41" s="125" t="s">
        <v>195</v>
      </c>
      <c r="AT41" s="125"/>
      <c r="AU41" s="125"/>
      <c r="AV41" s="190">
        <f>AN41*(1+$D$2)</f>
        <v>83.138041395281206</v>
      </c>
      <c r="AW41" s="191">
        <f>AV41*12</f>
        <v>997.65649674337442</v>
      </c>
    </row>
    <row r="42" spans="1:49" x14ac:dyDescent="0.2">
      <c r="A42" s="76"/>
      <c r="B42" s="101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</row>
    <row r="43" spans="1:49" x14ac:dyDescent="0.2">
      <c r="A43" s="76"/>
      <c r="B43" s="101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</row>
    <row r="44" spans="1:49" x14ac:dyDescent="0.2">
      <c r="A44" s="76"/>
      <c r="B44" s="101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</row>
    <row r="45" spans="1:49" ht="18.75" x14ac:dyDescent="0.3">
      <c r="A45" s="260" t="s">
        <v>196</v>
      </c>
      <c r="B45" s="260"/>
      <c r="C45" s="260"/>
      <c r="D45" s="260"/>
      <c r="E45" s="260"/>
      <c r="F45" s="260"/>
      <c r="G45" s="260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</row>
    <row r="46" spans="1:49" ht="18.75" x14ac:dyDescent="0.3">
      <c r="A46" s="147" t="s">
        <v>153</v>
      </c>
      <c r="B46" s="147">
        <v>2020</v>
      </c>
      <c r="C46" s="147">
        <v>2021</v>
      </c>
      <c r="D46" s="147">
        <v>2022</v>
      </c>
      <c r="E46" s="147">
        <v>2023</v>
      </c>
      <c r="F46" s="147">
        <v>2024</v>
      </c>
      <c r="G46" s="147">
        <v>2025</v>
      </c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</row>
    <row r="47" spans="1:49" x14ac:dyDescent="0.2">
      <c r="A47" s="129" t="s">
        <v>197</v>
      </c>
      <c r="B47" s="165">
        <v>15000</v>
      </c>
      <c r="C47" s="129">
        <v>12000</v>
      </c>
      <c r="D47" s="129"/>
      <c r="E47" s="129"/>
      <c r="F47" s="129"/>
      <c r="G47" s="129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</row>
    <row r="48" spans="1:49" x14ac:dyDescent="0.2">
      <c r="A48" s="76"/>
      <c r="B48" s="101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</row>
    <row r="49" spans="1:49" x14ac:dyDescent="0.2">
      <c r="A49" s="76"/>
      <c r="B49" s="101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</row>
    <row r="50" spans="1:49" x14ac:dyDescent="0.2">
      <c r="A50" s="76"/>
      <c r="B50" s="101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</row>
    <row r="51" spans="1:49" x14ac:dyDescent="0.2">
      <c r="A51" s="76"/>
      <c r="B51" s="101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</row>
    <row r="52" spans="1:49" x14ac:dyDescent="0.2">
      <c r="A52" s="76"/>
      <c r="B52" s="101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</row>
    <row r="53" spans="1:49" x14ac:dyDescent="0.2">
      <c r="A53" s="76"/>
      <c r="B53" s="101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</row>
    <row r="54" spans="1:49" x14ac:dyDescent="0.2">
      <c r="A54" s="76"/>
      <c r="B54" s="101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</row>
    <row r="55" spans="1:49" x14ac:dyDescent="0.2">
      <c r="A55" s="76"/>
      <c r="B55" s="101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</row>
    <row r="56" spans="1:49" x14ac:dyDescent="0.2">
      <c r="A56" s="76"/>
      <c r="B56" s="101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</row>
    <row r="57" spans="1:49" x14ac:dyDescent="0.2">
      <c r="A57" s="76"/>
      <c r="B57" s="101"/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</row>
    <row r="58" spans="1:49" x14ac:dyDescent="0.2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</row>
  </sheetData>
  <mergeCells count="73">
    <mergeCell ref="AH35:AO35"/>
    <mergeCell ref="AP35:AW35"/>
    <mergeCell ref="A35:I35"/>
    <mergeCell ref="J35:Q35"/>
    <mergeCell ref="A45:G45"/>
    <mergeCell ref="R35:Y35"/>
    <mergeCell ref="X19:X20"/>
    <mergeCell ref="Y19:Y20"/>
    <mergeCell ref="Z19:AA19"/>
    <mergeCell ref="A19:A20"/>
    <mergeCell ref="D19:E19"/>
    <mergeCell ref="F19:G19"/>
    <mergeCell ref="Z35:AG35"/>
    <mergeCell ref="H19:H20"/>
    <mergeCell ref="I19:I20"/>
    <mergeCell ref="J19:K19"/>
    <mergeCell ref="P19:P20"/>
    <mergeCell ref="B12:C12"/>
    <mergeCell ref="D12:E12"/>
    <mergeCell ref="L5:M5"/>
    <mergeCell ref="H6:I6"/>
    <mergeCell ref="J6:K6"/>
    <mergeCell ref="L6:M6"/>
    <mergeCell ref="H10:I10"/>
    <mergeCell ref="J10:K10"/>
    <mergeCell ref="L10:M10"/>
    <mergeCell ref="A2:C2"/>
    <mergeCell ref="A4:E4"/>
    <mergeCell ref="H5:I5"/>
    <mergeCell ref="J5:K5"/>
    <mergeCell ref="H11:I11"/>
    <mergeCell ref="J11:K11"/>
    <mergeCell ref="D10:E10"/>
    <mergeCell ref="B11:C11"/>
    <mergeCell ref="D11:E11"/>
    <mergeCell ref="B10:C10"/>
    <mergeCell ref="A5:A7"/>
    <mergeCell ref="B5:C5"/>
    <mergeCell ref="F12:G12"/>
    <mergeCell ref="F11:G11"/>
    <mergeCell ref="F10:G10"/>
    <mergeCell ref="T19:U19"/>
    <mergeCell ref="V19:W19"/>
    <mergeCell ref="L19:M19"/>
    <mergeCell ref="N19:O19"/>
    <mergeCell ref="R18:Y18"/>
    <mergeCell ref="L11:M11"/>
    <mergeCell ref="H12:I12"/>
    <mergeCell ref="J12:K12"/>
    <mergeCell ref="L12:M12"/>
    <mergeCell ref="A17:I17"/>
    <mergeCell ref="B18:I18"/>
    <mergeCell ref="J18:Q18"/>
    <mergeCell ref="B19:C19"/>
    <mergeCell ref="Z18:AG18"/>
    <mergeCell ref="Q19:Q20"/>
    <mergeCell ref="R19:S19"/>
    <mergeCell ref="AB19:AC19"/>
    <mergeCell ref="AD19:AE19"/>
    <mergeCell ref="AF19:AF20"/>
    <mergeCell ref="AG19:AG20"/>
    <mergeCell ref="AH18:AO18"/>
    <mergeCell ref="AH19:AI19"/>
    <mergeCell ref="AN19:AN20"/>
    <mergeCell ref="AO19:AO20"/>
    <mergeCell ref="AJ19:AK19"/>
    <mergeCell ref="AL19:AM19"/>
    <mergeCell ref="AP18:AW18"/>
    <mergeCell ref="AP19:AQ19"/>
    <mergeCell ref="AR19:AS19"/>
    <mergeCell ref="AT19:AU19"/>
    <mergeCell ref="AV19:AV20"/>
    <mergeCell ref="AW19:AW2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61069-3D6B-4E89-A671-66DA2DAEBA3E}">
  <dimension ref="B1:Q7"/>
  <sheetViews>
    <sheetView workbookViewId="0">
      <selection activeCell="E4" sqref="E4"/>
    </sheetView>
  </sheetViews>
  <sheetFormatPr baseColWidth="10" defaultColWidth="11.5546875" defaultRowHeight="15" x14ac:dyDescent="0.2"/>
  <cols>
    <col min="2" max="2" width="15.77734375" customWidth="1"/>
    <col min="3" max="4" width="11.6640625" customWidth="1"/>
    <col min="5" max="5" width="14.21875" customWidth="1"/>
    <col min="6" max="7" width="11.6640625" style="76" customWidth="1"/>
    <col min="8" max="8" width="13.5546875" style="76" customWidth="1"/>
    <col min="9" max="10" width="11.6640625" style="76" customWidth="1"/>
    <col min="11" max="11" width="13.21875" style="76" customWidth="1"/>
    <col min="12" max="13" width="11.6640625" style="76" customWidth="1"/>
    <col min="14" max="14" width="14.21875" style="76" customWidth="1"/>
    <col min="15" max="16" width="11.6640625" style="76" customWidth="1"/>
    <col min="17" max="17" width="13.77734375" style="76" customWidth="1"/>
  </cols>
  <sheetData>
    <row r="1" spans="2:17" ht="15.75" thickBot="1" x14ac:dyDescent="0.25">
      <c r="B1" s="76"/>
      <c r="C1" s="76"/>
      <c r="D1" s="76"/>
      <c r="E1" s="76"/>
    </row>
    <row r="2" spans="2:17" ht="16.5" customHeight="1" thickBot="1" x14ac:dyDescent="0.25">
      <c r="B2" s="276" t="s">
        <v>198</v>
      </c>
      <c r="C2" s="274">
        <v>2020</v>
      </c>
      <c r="D2" s="275"/>
      <c r="E2" s="275"/>
      <c r="F2" s="274">
        <v>2021</v>
      </c>
      <c r="G2" s="275"/>
      <c r="H2" s="275"/>
      <c r="I2" s="274">
        <v>2022</v>
      </c>
      <c r="J2" s="275"/>
      <c r="K2" s="275"/>
      <c r="L2" s="274">
        <v>2023</v>
      </c>
      <c r="M2" s="275"/>
      <c r="N2" s="275"/>
      <c r="O2" s="274">
        <v>2024</v>
      </c>
      <c r="P2" s="275"/>
      <c r="Q2" s="275"/>
    </row>
    <row r="3" spans="2:17" ht="16.5" thickTop="1" thickBot="1" x14ac:dyDescent="0.25">
      <c r="B3" s="277"/>
      <c r="C3" s="130" t="s">
        <v>199</v>
      </c>
      <c r="D3" s="131" t="s">
        <v>200</v>
      </c>
      <c r="E3" s="131" t="s">
        <v>201</v>
      </c>
      <c r="F3" s="130" t="s">
        <v>199</v>
      </c>
      <c r="G3" s="131" t="s">
        <v>200</v>
      </c>
      <c r="H3" s="131" t="s">
        <v>201</v>
      </c>
      <c r="I3" s="130" t="s">
        <v>199</v>
      </c>
      <c r="J3" s="131" t="s">
        <v>200</v>
      </c>
      <c r="K3" s="131" t="s">
        <v>201</v>
      </c>
      <c r="L3" s="130" t="s">
        <v>199</v>
      </c>
      <c r="M3" s="131" t="s">
        <v>200</v>
      </c>
      <c r="N3" s="131" t="s">
        <v>201</v>
      </c>
      <c r="O3" s="130" t="s">
        <v>199</v>
      </c>
      <c r="P3" s="131" t="s">
        <v>200</v>
      </c>
      <c r="Q3" s="131" t="s">
        <v>201</v>
      </c>
    </row>
    <row r="4" spans="2:17" x14ac:dyDescent="0.2">
      <c r="B4" s="76" t="s">
        <v>202</v>
      </c>
      <c r="C4" s="134">
        <v>40125</v>
      </c>
      <c r="D4" s="132">
        <v>70</v>
      </c>
      <c r="E4" s="132">
        <f>C4*D4</f>
        <v>2808750</v>
      </c>
      <c r="F4" s="134">
        <f>C4+C4*0.1</f>
        <v>44137.5</v>
      </c>
      <c r="G4" s="132">
        <f>D4</f>
        <v>70</v>
      </c>
      <c r="H4" s="132">
        <f>F4*G4</f>
        <v>3089625</v>
      </c>
      <c r="I4" s="134">
        <f>F4+C4*0.1</f>
        <v>48150</v>
      </c>
      <c r="J4" s="132">
        <f>D4</f>
        <v>70</v>
      </c>
      <c r="K4" s="132">
        <f>I4*J4</f>
        <v>3370500</v>
      </c>
      <c r="L4" s="134">
        <f>I4+C4*0.1</f>
        <v>52162.5</v>
      </c>
      <c r="M4" s="132">
        <f>D4</f>
        <v>70</v>
      </c>
      <c r="N4" s="132">
        <f>L4*M4</f>
        <v>3651375</v>
      </c>
      <c r="O4" s="134">
        <f>L4+C4*0.1</f>
        <v>56175</v>
      </c>
      <c r="P4" s="132">
        <f>D4</f>
        <v>70</v>
      </c>
      <c r="Q4" s="132">
        <f>O4*P4</f>
        <v>3932250</v>
      </c>
    </row>
    <row r="5" spans="2:17" x14ac:dyDescent="0.2">
      <c r="B5" s="76" t="s">
        <v>178</v>
      </c>
      <c r="C5" s="134">
        <f>C4*2</f>
        <v>80250</v>
      </c>
      <c r="D5" s="132">
        <v>0.38</v>
      </c>
      <c r="E5" s="132">
        <f>C5*D5</f>
        <v>30495</v>
      </c>
      <c r="F5" s="134">
        <f t="shared" ref="F5" si="0">F4*2</f>
        <v>88275</v>
      </c>
      <c r="G5" s="135">
        <f>D5</f>
        <v>0.38</v>
      </c>
      <c r="H5" s="132">
        <f>F5*G5</f>
        <v>33544.5</v>
      </c>
      <c r="I5" s="134">
        <f t="shared" ref="I5" si="1">I4*2</f>
        <v>96300</v>
      </c>
      <c r="J5" s="135">
        <f>D5</f>
        <v>0.38</v>
      </c>
      <c r="K5" s="132">
        <f>I5*J5</f>
        <v>36594</v>
      </c>
      <c r="L5" s="134">
        <f>L4*2</f>
        <v>104325</v>
      </c>
      <c r="M5" s="135">
        <f>D5</f>
        <v>0.38</v>
      </c>
      <c r="N5" s="132">
        <f>L5*M5</f>
        <v>39643.5</v>
      </c>
      <c r="O5" s="134">
        <f t="shared" ref="O5" si="2">O4*2</f>
        <v>112350</v>
      </c>
      <c r="P5" s="135">
        <f>D5</f>
        <v>0.38</v>
      </c>
      <c r="Q5" s="132">
        <f>O5*P5</f>
        <v>42693</v>
      </c>
    </row>
    <row r="7" spans="2:17" x14ac:dyDescent="0.2">
      <c r="B7" s="142" t="s">
        <v>203</v>
      </c>
      <c r="C7" s="136"/>
      <c r="D7" s="76"/>
      <c r="E7" s="137">
        <f>E4+E5</f>
        <v>2839245</v>
      </c>
      <c r="F7" s="136"/>
      <c r="G7" s="136"/>
      <c r="H7" s="137">
        <f t="shared" ref="H7" si="3">H4+H5</f>
        <v>3123169.5</v>
      </c>
      <c r="I7" s="136"/>
      <c r="J7" s="136"/>
      <c r="K7" s="137">
        <f t="shared" ref="K7" si="4">K4+K5</f>
        <v>3407094</v>
      </c>
      <c r="L7" s="136"/>
      <c r="M7" s="136"/>
      <c r="N7" s="137">
        <f t="shared" ref="N7" si="5">N4+N5</f>
        <v>3691018.5</v>
      </c>
      <c r="O7" s="136"/>
      <c r="P7" s="136"/>
      <c r="Q7" s="137">
        <f t="shared" ref="Q7" si="6">Q4+Q5</f>
        <v>3974943</v>
      </c>
    </row>
  </sheetData>
  <mergeCells count="6">
    <mergeCell ref="L2:N2"/>
    <mergeCell ref="O2:Q2"/>
    <mergeCell ref="C2:E2"/>
    <mergeCell ref="B2:B3"/>
    <mergeCell ref="F2:H2"/>
    <mergeCell ref="I2:K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BEEF9-3530-47C9-BF83-D5F494E636A0}">
  <dimension ref="B1:W5"/>
  <sheetViews>
    <sheetView workbookViewId="0"/>
  </sheetViews>
  <sheetFormatPr baseColWidth="10" defaultColWidth="8.88671875" defaultRowHeight="15" x14ac:dyDescent="0.2"/>
  <sheetData>
    <row r="1" spans="2:23" x14ac:dyDescent="0.2">
      <c r="B1" s="76"/>
      <c r="C1" s="283" t="s">
        <v>204</v>
      </c>
      <c r="D1" s="283"/>
      <c r="E1" s="283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</row>
    <row r="2" spans="2:23" x14ac:dyDescent="0.2">
      <c r="B2" s="76"/>
      <c r="C2" s="284">
        <v>2020</v>
      </c>
      <c r="D2" s="278"/>
      <c r="E2" s="278"/>
      <c r="F2" s="278"/>
      <c r="G2" s="278">
        <v>2021</v>
      </c>
      <c r="H2" s="278"/>
      <c r="I2" s="278"/>
      <c r="J2" s="278"/>
      <c r="K2" s="278">
        <v>2022</v>
      </c>
      <c r="L2" s="278"/>
      <c r="M2" s="278"/>
      <c r="N2" s="278"/>
      <c r="O2" s="278">
        <v>2023</v>
      </c>
      <c r="P2" s="278"/>
      <c r="Q2" s="278"/>
      <c r="R2" s="278"/>
      <c r="S2" s="278">
        <v>2024</v>
      </c>
      <c r="T2" s="278"/>
      <c r="U2" s="278"/>
      <c r="V2" s="279"/>
      <c r="W2" s="76"/>
    </row>
    <row r="3" spans="2:23" x14ac:dyDescent="0.2">
      <c r="B3" s="76"/>
      <c r="C3" s="285" t="s">
        <v>205</v>
      </c>
      <c r="D3" s="286"/>
      <c r="E3" s="281" t="s">
        <v>206</v>
      </c>
      <c r="F3" s="281"/>
      <c r="G3" s="280" t="s">
        <v>205</v>
      </c>
      <c r="H3" s="280"/>
      <c r="I3" s="281" t="s">
        <v>206</v>
      </c>
      <c r="J3" s="281"/>
      <c r="K3" s="280" t="s">
        <v>205</v>
      </c>
      <c r="L3" s="280"/>
      <c r="M3" s="281" t="s">
        <v>206</v>
      </c>
      <c r="N3" s="281"/>
      <c r="O3" s="280" t="s">
        <v>205</v>
      </c>
      <c r="P3" s="280"/>
      <c r="Q3" s="281" t="s">
        <v>206</v>
      </c>
      <c r="R3" s="281"/>
      <c r="S3" s="280" t="s">
        <v>205</v>
      </c>
      <c r="T3" s="280"/>
      <c r="U3" s="281" t="s">
        <v>206</v>
      </c>
      <c r="V3" s="282"/>
      <c r="W3" s="76"/>
    </row>
    <row r="4" spans="2:23" x14ac:dyDescent="0.2">
      <c r="B4" s="76"/>
      <c r="C4" s="166" t="s">
        <v>207</v>
      </c>
      <c r="D4" s="167" t="s">
        <v>208</v>
      </c>
      <c r="E4" s="167" t="s">
        <v>207</v>
      </c>
      <c r="F4" s="167" t="s">
        <v>208</v>
      </c>
      <c r="G4" s="167" t="s">
        <v>207</v>
      </c>
      <c r="H4" s="167" t="s">
        <v>208</v>
      </c>
      <c r="I4" s="167" t="s">
        <v>207</v>
      </c>
      <c r="J4" s="167" t="s">
        <v>208</v>
      </c>
      <c r="K4" s="167" t="s">
        <v>207</v>
      </c>
      <c r="L4" s="167" t="s">
        <v>208</v>
      </c>
      <c r="M4" s="167" t="s">
        <v>207</v>
      </c>
      <c r="N4" s="167" t="s">
        <v>208</v>
      </c>
      <c r="O4" s="167" t="s">
        <v>207</v>
      </c>
      <c r="P4" s="167" t="s">
        <v>208</v>
      </c>
      <c r="Q4" s="167" t="s">
        <v>207</v>
      </c>
      <c r="R4" s="167" t="s">
        <v>208</v>
      </c>
      <c r="S4" s="167" t="s">
        <v>207</v>
      </c>
      <c r="T4" s="167" t="s">
        <v>208</v>
      </c>
      <c r="U4" s="167" t="s">
        <v>207</v>
      </c>
      <c r="V4" s="168" t="s">
        <v>208</v>
      </c>
      <c r="W4" s="76"/>
    </row>
    <row r="5" spans="2:23" x14ac:dyDescent="0.2"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</row>
  </sheetData>
  <mergeCells count="16">
    <mergeCell ref="C1:E1"/>
    <mergeCell ref="C2:F2"/>
    <mergeCell ref="C3:D3"/>
    <mergeCell ref="E3:F3"/>
    <mergeCell ref="G2:J2"/>
    <mergeCell ref="K2:N2"/>
    <mergeCell ref="O2:R2"/>
    <mergeCell ref="S2:V2"/>
    <mergeCell ref="G3:H3"/>
    <mergeCell ref="I3:J3"/>
    <mergeCell ref="K3:L3"/>
    <mergeCell ref="M3:N3"/>
    <mergeCell ref="O3:P3"/>
    <mergeCell ref="Q3:R3"/>
    <mergeCell ref="S3:T3"/>
    <mergeCell ref="U3:V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</vt:i4>
      </vt:variant>
    </vt:vector>
  </HeadingPairs>
  <TitlesOfParts>
    <vt:vector size="10" baseType="lpstr">
      <vt:lpstr>Capital  Social</vt:lpstr>
      <vt:lpstr>Remuneraciones</vt:lpstr>
      <vt:lpstr>Inversion Total</vt:lpstr>
      <vt:lpstr>Financiamiento</vt:lpstr>
      <vt:lpstr>Depreciación</vt:lpstr>
      <vt:lpstr>Costos, Gastos y Precio</vt:lpstr>
      <vt:lpstr>Presupuesto de Ingresos</vt:lpstr>
      <vt:lpstr>Punto de Equilibrio</vt:lpstr>
      <vt:lpstr>Financiamiento!Área_de_impresión</vt:lpstr>
      <vt:lpstr>'Inversion Total'!Área_de_impresión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Arturo Garcia</dc:creator>
  <cp:keywords/>
  <dc:description/>
  <cp:lastModifiedBy>Arturo Garcia</cp:lastModifiedBy>
  <cp:revision/>
  <dcterms:created xsi:type="dcterms:W3CDTF">2019-10-24T12:18:31Z</dcterms:created>
  <dcterms:modified xsi:type="dcterms:W3CDTF">2019-11-11T14:00:53Z</dcterms:modified>
  <cp:category/>
  <cp:contentStatus/>
</cp:coreProperties>
</file>