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a1f856cd4844fe3/Documentos/Administracion de proyectos/Tercer Parcial/"/>
    </mc:Choice>
  </mc:AlternateContent>
  <xr:revisionPtr revIDLastSave="3839" documentId="8_{1C0015EE-569D-4EF3-95EC-05AB216A7A3C}" xr6:coauthVersionLast="44" xr6:coauthVersionMax="45" xr10:uidLastSave="{21422816-DFD3-4220-9F6E-28DDF26D5625}"/>
  <bookViews>
    <workbookView xWindow="-108" yWindow="-108" windowWidth="23256" windowHeight="12576" tabRatio="917" firstSheet="4" activeTab="11" xr2:uid="{DD2785A9-7ACE-46A4-AA4A-BC92E3B59153}"/>
  </bookViews>
  <sheets>
    <sheet name="Capital  Social" sheetId="1" r:id="rId1"/>
    <sheet name="Inversion Total" sheetId="3" r:id="rId2"/>
    <sheet name="Remuneraciones" sheetId="2" r:id="rId3"/>
    <sheet name="Depreciación" sheetId="5" r:id="rId4"/>
    <sheet name="Presupuesto de Ingresos" sheetId="6" r:id="rId5"/>
    <sheet name="Punto de Equilibrio" sheetId="8" r:id="rId6"/>
    <sheet name="Financiamiento" sheetId="4" r:id="rId7"/>
    <sheet name="Edo. de Situación Financiera P." sheetId="12" r:id="rId8"/>
    <sheet name="Estado de Resultados" sheetId="11" r:id="rId9"/>
    <sheet name="Flujo de Efectivo" sheetId="9" r:id="rId10"/>
    <sheet name="Costos, Gastos y Precio" sheetId="7" r:id="rId11"/>
    <sheet name="Flujo Neto de Efectivo" sheetId="13" r:id="rId12"/>
  </sheets>
  <externalReferences>
    <externalReference r:id="rId13"/>
  </externalReferences>
  <definedNames>
    <definedName name="_xlnm.Print_Area" localSheetId="6">Financiamiento!$D$3:$M$41</definedName>
    <definedName name="_xlnm.Print_Area" localSheetId="1">'Inversion Total'!$B$2:$F$81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6" i="13" l="1"/>
  <c r="F27" i="13"/>
  <c r="F26" i="13"/>
  <c r="G8" i="13"/>
  <c r="H8" i="13" s="1"/>
  <c r="I8" i="13" s="1"/>
  <c r="F8" i="13"/>
  <c r="E8" i="13"/>
  <c r="E7" i="13"/>
  <c r="U9" i="12" l="1"/>
  <c r="E4" i="6" l="1"/>
  <c r="C5" i="6"/>
  <c r="E5" i="6"/>
  <c r="E7" i="6"/>
  <c r="F31" i="5"/>
  <c r="G31" i="5"/>
  <c r="I31" i="5"/>
  <c r="I30" i="5" s="1"/>
  <c r="F32" i="5"/>
  <c r="G32" i="5" s="1"/>
  <c r="I32" i="5" s="1"/>
  <c r="F33" i="5"/>
  <c r="G33" i="5" s="1"/>
  <c r="I33" i="5" s="1"/>
  <c r="F26" i="5"/>
  <c r="G26" i="5" s="1"/>
  <c r="I26" i="5" s="1"/>
  <c r="F27" i="5"/>
  <c r="G27" i="5"/>
  <c r="I27" i="5" s="1"/>
  <c r="F28" i="5"/>
  <c r="G28" i="5" s="1"/>
  <c r="I28" i="5" s="1"/>
  <c r="F29" i="5"/>
  <c r="G29" i="5"/>
  <c r="I29" i="5" s="1"/>
  <c r="F21" i="5"/>
  <c r="G21" i="5"/>
  <c r="I21" i="5" s="1"/>
  <c r="F22" i="5"/>
  <c r="G22" i="5" s="1"/>
  <c r="I22" i="5" s="1"/>
  <c r="F23" i="5"/>
  <c r="G23" i="5" s="1"/>
  <c r="I23" i="5" s="1"/>
  <c r="F16" i="5"/>
  <c r="G16" i="5" s="1"/>
  <c r="I16" i="5" s="1"/>
  <c r="F17" i="5"/>
  <c r="G17" i="5" s="1"/>
  <c r="I17" i="5" s="1"/>
  <c r="F18" i="5"/>
  <c r="G18" i="5"/>
  <c r="I18" i="5" s="1"/>
  <c r="I15" i="5" s="1"/>
  <c r="J15" i="5" s="1"/>
  <c r="F19" i="5"/>
  <c r="G19" i="5"/>
  <c r="I19" i="5"/>
  <c r="F11" i="5"/>
  <c r="G11" i="5"/>
  <c r="I11" i="5"/>
  <c r="I10" i="5" s="1"/>
  <c r="F12" i="5"/>
  <c r="G12" i="5" s="1"/>
  <c r="I12" i="5" s="1"/>
  <c r="F13" i="5"/>
  <c r="G13" i="5" s="1"/>
  <c r="I13" i="5" s="1"/>
  <c r="F6" i="5"/>
  <c r="G6" i="5" s="1"/>
  <c r="I6" i="5" s="1"/>
  <c r="F7" i="5"/>
  <c r="G7" i="5"/>
  <c r="I7" i="5" s="1"/>
  <c r="F8" i="5"/>
  <c r="G8" i="5" s="1"/>
  <c r="I8" i="5" s="1"/>
  <c r="F9" i="5"/>
  <c r="G9" i="5" s="1"/>
  <c r="I9" i="5" s="1"/>
  <c r="C28" i="7"/>
  <c r="D28" i="7"/>
  <c r="H28" i="7" s="1"/>
  <c r="E28" i="7"/>
  <c r="G28" i="7"/>
  <c r="B11" i="7"/>
  <c r="I37" i="7" s="1"/>
  <c r="C8" i="7"/>
  <c r="C9" i="7" s="1"/>
  <c r="B10" i="7" s="1"/>
  <c r="B12" i="7"/>
  <c r="E22" i="7" s="1"/>
  <c r="D22" i="7" s="1"/>
  <c r="B24" i="7"/>
  <c r="C24" i="7" s="1"/>
  <c r="D24" i="7"/>
  <c r="E24" i="7"/>
  <c r="F24" i="7"/>
  <c r="G24" i="7" s="1"/>
  <c r="C27" i="7"/>
  <c r="D27" i="7"/>
  <c r="E27" i="7"/>
  <c r="I27" i="7" s="1"/>
  <c r="E16" i="9" s="1"/>
  <c r="G27" i="7"/>
  <c r="C29" i="7"/>
  <c r="E29" i="7"/>
  <c r="G29" i="7"/>
  <c r="C30" i="7"/>
  <c r="E30" i="7"/>
  <c r="G30" i="7"/>
  <c r="C25" i="7"/>
  <c r="E25" i="7"/>
  <c r="I25" i="7" s="1"/>
  <c r="E21" i="9" s="1"/>
  <c r="F25" i="7"/>
  <c r="G25" i="7"/>
  <c r="K12" i="11"/>
  <c r="H5" i="4"/>
  <c r="E10" i="12" s="1"/>
  <c r="E9" i="12" s="1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8" i="11"/>
  <c r="E54" i="3"/>
  <c r="D20" i="9" s="1"/>
  <c r="E62" i="3"/>
  <c r="D23" i="9" s="1"/>
  <c r="F3" i="2"/>
  <c r="G3" i="2" s="1"/>
  <c r="F4" i="2"/>
  <c r="G4" i="2"/>
  <c r="H4" i="2" s="1"/>
  <c r="F5" i="2"/>
  <c r="G5" i="2" s="1"/>
  <c r="H5" i="2" s="1"/>
  <c r="F6" i="2"/>
  <c r="G6" i="2"/>
  <c r="F7" i="2"/>
  <c r="G7" i="2" s="1"/>
  <c r="H7" i="2" s="1"/>
  <c r="F8" i="2"/>
  <c r="G8" i="2" s="1"/>
  <c r="F9" i="2"/>
  <c r="G9" i="2" s="1"/>
  <c r="H9" i="2" s="1"/>
  <c r="F10" i="2"/>
  <c r="G10" i="2" s="1"/>
  <c r="H10" i="2" s="1"/>
  <c r="F11" i="2"/>
  <c r="G11" i="2" s="1"/>
  <c r="H11" i="2" s="1"/>
  <c r="F12" i="2"/>
  <c r="G12" i="2"/>
  <c r="F13" i="2"/>
  <c r="G13" i="2" s="1"/>
  <c r="H13" i="2" s="1"/>
  <c r="F14" i="2"/>
  <c r="G14" i="2" s="1"/>
  <c r="H14" i="2" s="1"/>
  <c r="F15" i="2"/>
  <c r="G15" i="2" s="1"/>
  <c r="H15" i="2" s="1"/>
  <c r="F16" i="2"/>
  <c r="G16" i="2"/>
  <c r="H16" i="2" s="1"/>
  <c r="F17" i="2"/>
  <c r="G17" i="2" s="1"/>
  <c r="H17" i="2" s="1"/>
  <c r="F18" i="2"/>
  <c r="G18" i="2" s="1"/>
  <c r="E57" i="3"/>
  <c r="D16" i="9" s="1"/>
  <c r="E61" i="3"/>
  <c r="D17" i="9"/>
  <c r="E60" i="3"/>
  <c r="D18" i="9" s="1"/>
  <c r="E53" i="3"/>
  <c r="D21" i="9"/>
  <c r="F4" i="6"/>
  <c r="H4" i="6" s="1"/>
  <c r="G4" i="6"/>
  <c r="G5" i="6"/>
  <c r="S5" i="6" s="1"/>
  <c r="J28" i="7"/>
  <c r="K28" i="7"/>
  <c r="N28" i="7"/>
  <c r="V28" i="7" s="1"/>
  <c r="O28" i="7"/>
  <c r="J24" i="7"/>
  <c r="L24" i="7"/>
  <c r="N24" i="7"/>
  <c r="J27" i="7"/>
  <c r="K27" i="7"/>
  <c r="N27" i="7"/>
  <c r="V27" i="7" s="1"/>
  <c r="W27" i="7" s="1"/>
  <c r="O27" i="7"/>
  <c r="J29" i="7"/>
  <c r="L29" i="7"/>
  <c r="M29" i="7"/>
  <c r="N29" i="7"/>
  <c r="O29" i="7" s="1"/>
  <c r="J30" i="7"/>
  <c r="K30" i="7"/>
  <c r="L30" i="7"/>
  <c r="T30" i="7" s="1"/>
  <c r="M30" i="7"/>
  <c r="N30" i="7"/>
  <c r="V30" i="7" s="1"/>
  <c r="W30" i="7" s="1"/>
  <c r="O30" i="7"/>
  <c r="J25" i="7"/>
  <c r="R25" i="7" s="1"/>
  <c r="K25" i="7"/>
  <c r="L25" i="7"/>
  <c r="M25" i="7"/>
  <c r="N25" i="7"/>
  <c r="V25" i="7" s="1"/>
  <c r="AD25" i="7" s="1"/>
  <c r="O25" i="7"/>
  <c r="F19" i="4"/>
  <c r="F20" i="4"/>
  <c r="F21" i="4"/>
  <c r="F22" i="4"/>
  <c r="F23" i="4"/>
  <c r="F24" i="4"/>
  <c r="F25" i="4"/>
  <c r="F26" i="4"/>
  <c r="F27" i="4"/>
  <c r="F28" i="4"/>
  <c r="F29" i="4"/>
  <c r="E52" i="3"/>
  <c r="D22" i="9" s="1"/>
  <c r="E28" i="3"/>
  <c r="E29" i="3"/>
  <c r="E30" i="3"/>
  <c r="E31" i="3"/>
  <c r="F9" i="3"/>
  <c r="F11" i="3"/>
  <c r="F12" i="3"/>
  <c r="E55" i="3"/>
  <c r="E56" i="3"/>
  <c r="E33" i="3"/>
  <c r="E34" i="3"/>
  <c r="E35" i="3"/>
  <c r="E36" i="3"/>
  <c r="E37" i="3"/>
  <c r="J4" i="6"/>
  <c r="J5" i="6"/>
  <c r="R27" i="7"/>
  <c r="S27" i="7"/>
  <c r="W28" i="7"/>
  <c r="T25" i="7"/>
  <c r="U25" i="7"/>
  <c r="W25" i="7"/>
  <c r="M4" i="6"/>
  <c r="M5" i="6"/>
  <c r="Z27" i="7"/>
  <c r="R29" i="7"/>
  <c r="T29" i="7"/>
  <c r="AD30" i="7"/>
  <c r="AL30" i="7" s="1"/>
  <c r="AE30" i="7"/>
  <c r="AD28" i="7"/>
  <c r="AB25" i="7"/>
  <c r="AC25" i="7" s="1"/>
  <c r="P4" i="6"/>
  <c r="P5" i="6"/>
  <c r="AM30" i="7"/>
  <c r="E25" i="3"/>
  <c r="E26" i="3"/>
  <c r="E39" i="3"/>
  <c r="E40" i="3"/>
  <c r="E41" i="3"/>
  <c r="E43" i="3"/>
  <c r="E42" i="3" s="1"/>
  <c r="E44" i="3"/>
  <c r="E45" i="3"/>
  <c r="E58" i="3"/>
  <c r="E59" i="3"/>
  <c r="E63" i="3"/>
  <c r="E65" i="3"/>
  <c r="E9" i="1"/>
  <c r="D79" i="3"/>
  <c r="AJ11" i="11"/>
  <c r="AJ10" i="11"/>
  <c r="E13" i="12"/>
  <c r="H15" i="13"/>
  <c r="H14" i="13"/>
  <c r="H12" i="2"/>
  <c r="H3" i="2"/>
  <c r="Y9" i="12"/>
  <c r="I3" i="13"/>
  <c r="H3" i="13"/>
  <c r="G3" i="13"/>
  <c r="F3" i="13"/>
  <c r="AJ14" i="11"/>
  <c r="AE14" i="11"/>
  <c r="Z14" i="11"/>
  <c r="U14" i="11"/>
  <c r="B21" i="7"/>
  <c r="C21" i="7"/>
  <c r="F21" i="7"/>
  <c r="G21" i="7"/>
  <c r="K22" i="7"/>
  <c r="K21" i="7"/>
  <c r="J22" i="7"/>
  <c r="J21" i="7" s="1"/>
  <c r="R22" i="7"/>
  <c r="S22" i="7"/>
  <c r="N22" i="7"/>
  <c r="N21" i="7"/>
  <c r="O22" i="7"/>
  <c r="C26" i="7"/>
  <c r="E26" i="7"/>
  <c r="G26" i="7"/>
  <c r="H26" i="7"/>
  <c r="J26" i="7"/>
  <c r="L26" i="7"/>
  <c r="M26" i="7"/>
  <c r="N26" i="7"/>
  <c r="H29" i="7"/>
  <c r="H30" i="7"/>
  <c r="B31" i="7"/>
  <c r="J31" i="7" s="1"/>
  <c r="D31" i="7"/>
  <c r="L31" i="7"/>
  <c r="T31" i="7"/>
  <c r="AB31" i="7" s="1"/>
  <c r="AJ31" i="7" s="1"/>
  <c r="AR31" i="7" s="1"/>
  <c r="F31" i="7"/>
  <c r="V22" i="7"/>
  <c r="AD22" i="7" s="1"/>
  <c r="AD21" i="7" s="1"/>
  <c r="V21" i="7"/>
  <c r="E31" i="7"/>
  <c r="P25" i="7"/>
  <c r="H25" i="7"/>
  <c r="T26" i="7"/>
  <c r="U26" i="7" s="1"/>
  <c r="X25" i="7"/>
  <c r="AB26" i="7"/>
  <c r="AC26" i="7" s="1"/>
  <c r="AT30" i="7"/>
  <c r="AU30" i="7" s="1"/>
  <c r="M8" i="7"/>
  <c r="K8" i="7"/>
  <c r="K9" i="7" s="1"/>
  <c r="J10" i="7" s="1"/>
  <c r="I8" i="7"/>
  <c r="I9" i="7"/>
  <c r="H10" i="7" s="1"/>
  <c r="G8" i="7"/>
  <c r="G9" i="7" s="1"/>
  <c r="F10" i="7" s="1"/>
  <c r="M9" i="7"/>
  <c r="L10" i="7"/>
  <c r="E8" i="7"/>
  <c r="E9" i="7"/>
  <c r="D10" i="7"/>
  <c r="P41" i="7"/>
  <c r="AW38" i="7"/>
  <c r="AO38" i="7"/>
  <c r="AG38" i="7"/>
  <c r="Y38" i="7"/>
  <c r="Q38" i="7"/>
  <c r="H37" i="7"/>
  <c r="H39" i="7"/>
  <c r="I38" i="7"/>
  <c r="I41" i="7"/>
  <c r="S4" i="6"/>
  <c r="H18" i="2"/>
  <c r="H8" i="2"/>
  <c r="H6" i="2"/>
  <c r="AJ9" i="11"/>
  <c r="Q10" i="12"/>
  <c r="Q9" i="12" s="1"/>
  <c r="D21" i="7" l="1"/>
  <c r="L22" i="7"/>
  <c r="AB30" i="7"/>
  <c r="AC30" i="7" s="1"/>
  <c r="U30" i="7"/>
  <c r="J10" i="5"/>
  <c r="D11" i="7"/>
  <c r="D12" i="7" s="1"/>
  <c r="Z22" i="7"/>
  <c r="Z21" i="7" s="1"/>
  <c r="R21" i="7"/>
  <c r="D4" i="9"/>
  <c r="D14" i="13"/>
  <c r="I4" i="6"/>
  <c r="AL25" i="7"/>
  <c r="AE25" i="7"/>
  <c r="S25" i="7"/>
  <c r="Y25" i="7" s="1"/>
  <c r="G21" i="9" s="1"/>
  <c r="Z25" i="7"/>
  <c r="M24" i="7"/>
  <c r="T24" i="7"/>
  <c r="E23" i="7"/>
  <c r="N31" i="7"/>
  <c r="O31" i="7" s="1"/>
  <c r="G31" i="7"/>
  <c r="U29" i="7"/>
  <c r="AB29" i="7"/>
  <c r="L28" i="7"/>
  <c r="F5" i="6"/>
  <c r="H5" i="6" s="1"/>
  <c r="G23" i="7"/>
  <c r="G32" i="7" s="1"/>
  <c r="L27" i="7"/>
  <c r="H27" i="7"/>
  <c r="D23" i="7"/>
  <c r="I5" i="5"/>
  <c r="J5" i="5" s="1"/>
  <c r="I20" i="5"/>
  <c r="J20" i="5" s="1"/>
  <c r="AJ26" i="7"/>
  <c r="AJ25" i="7"/>
  <c r="V29" i="7"/>
  <c r="W29" i="7" s="1"/>
  <c r="G17" i="9" s="1"/>
  <c r="F23" i="7"/>
  <c r="F32" i="7" s="1"/>
  <c r="I29" i="7"/>
  <c r="E17" i="9" s="1"/>
  <c r="I25" i="5"/>
  <c r="J25" i="5" s="1"/>
  <c r="I39" i="7"/>
  <c r="I26" i="7"/>
  <c r="F17" i="3"/>
  <c r="I30" i="7"/>
  <c r="E18" i="9" s="1"/>
  <c r="H24" i="7"/>
  <c r="E6" i="4"/>
  <c r="G6" i="4" s="1"/>
  <c r="R31" i="7"/>
  <c r="K31" i="7"/>
  <c r="Q31" i="7" s="1"/>
  <c r="P31" i="7"/>
  <c r="AL28" i="7"/>
  <c r="AE28" i="7"/>
  <c r="N23" i="7"/>
  <c r="N32" i="7" s="1"/>
  <c r="O24" i="7"/>
  <c r="I34" i="5"/>
  <c r="J30" i="5"/>
  <c r="K6" i="11"/>
  <c r="E8" i="9"/>
  <c r="E5" i="9" s="1"/>
  <c r="E5" i="13" s="1"/>
  <c r="H22" i="7"/>
  <c r="AK26" i="7"/>
  <c r="AR26" i="7"/>
  <c r="AS26" i="7" s="1"/>
  <c r="V31" i="7"/>
  <c r="Z29" i="7"/>
  <c r="S29" i="7"/>
  <c r="Y29" i="7" s="1"/>
  <c r="V24" i="7"/>
  <c r="P29" i="7"/>
  <c r="K29" i="7"/>
  <c r="Q29" i="7" s="1"/>
  <c r="F17" i="9" s="1"/>
  <c r="H31" i="7"/>
  <c r="B23" i="7"/>
  <c r="B32" i="7" s="1"/>
  <c r="C31" i="7"/>
  <c r="I31" i="7" s="1"/>
  <c r="AH22" i="7"/>
  <c r="X29" i="7"/>
  <c r="H23" i="7"/>
  <c r="R26" i="7"/>
  <c r="K26" i="7"/>
  <c r="P26" i="7"/>
  <c r="S21" i="7"/>
  <c r="AA22" i="7"/>
  <c r="AD29" i="7"/>
  <c r="D10" i="9"/>
  <c r="D73" i="3"/>
  <c r="X41" i="7"/>
  <c r="Q41" i="7"/>
  <c r="AL22" i="7"/>
  <c r="O26" i="7"/>
  <c r="V26" i="7"/>
  <c r="AJ30" i="7"/>
  <c r="P24" i="7"/>
  <c r="K24" i="7"/>
  <c r="R24" i="7"/>
  <c r="J23" i="7"/>
  <c r="J32" i="7" s="1"/>
  <c r="C23" i="7"/>
  <c r="C32" i="7" s="1"/>
  <c r="D19" i="9"/>
  <c r="Q30" i="7"/>
  <c r="F18" i="9" s="1"/>
  <c r="I22" i="7"/>
  <c r="M22" i="7"/>
  <c r="O21" i="7"/>
  <c r="W22" i="7"/>
  <c r="AA27" i="7"/>
  <c r="AH27" i="7"/>
  <c r="E27" i="3"/>
  <c r="D11" i="9" s="1"/>
  <c r="F10" i="11"/>
  <c r="I28" i="7"/>
  <c r="E20" i="9" s="1"/>
  <c r="Q25" i="7"/>
  <c r="F21" i="9" s="1"/>
  <c r="R30" i="7"/>
  <c r="P30" i="7"/>
  <c r="E21" i="7"/>
  <c r="E38" i="3"/>
  <c r="AD27" i="7"/>
  <c r="E32" i="3"/>
  <c r="D12" i="9" s="1"/>
  <c r="R28" i="7"/>
  <c r="P28" i="7"/>
  <c r="H7" i="6"/>
  <c r="C64" i="3"/>
  <c r="E64" i="3" s="1"/>
  <c r="I24" i="7"/>
  <c r="T27" i="7" l="1"/>
  <c r="M27" i="7"/>
  <c r="P27" i="7"/>
  <c r="P23" i="7" s="1"/>
  <c r="AC29" i="7"/>
  <c r="AJ29" i="7"/>
  <c r="AH25" i="7"/>
  <c r="AF25" i="7"/>
  <c r="AA25" i="7"/>
  <c r="AG25" i="7" s="1"/>
  <c r="H21" i="9" s="1"/>
  <c r="I5" i="6"/>
  <c r="K5" i="6" s="1"/>
  <c r="L4" i="6"/>
  <c r="F11" i="7"/>
  <c r="F12" i="7" s="1"/>
  <c r="L23" i="7"/>
  <c r="I24" i="5"/>
  <c r="I35" i="5" s="1"/>
  <c r="AK25" i="7"/>
  <c r="AR25" i="7"/>
  <c r="AS25" i="7" s="1"/>
  <c r="U24" i="7"/>
  <c r="AB24" i="7"/>
  <c r="L21" i="7"/>
  <c r="L32" i="7" s="1"/>
  <c r="T22" i="7"/>
  <c r="E32" i="7"/>
  <c r="K4" i="6"/>
  <c r="K7" i="6" s="1"/>
  <c r="T28" i="7"/>
  <c r="M28" i="7"/>
  <c r="Q28" i="7" s="1"/>
  <c r="F20" i="9" s="1"/>
  <c r="AM25" i="7"/>
  <c r="AT25" i="7"/>
  <c r="AU25" i="7" s="1"/>
  <c r="I14" i="5"/>
  <c r="J14" i="5" s="1"/>
  <c r="D32" i="7"/>
  <c r="AL29" i="7"/>
  <c r="AE29" i="7"/>
  <c r="AM28" i="7"/>
  <c r="AT28" i="7"/>
  <c r="AU28" i="7" s="1"/>
  <c r="H6" i="4"/>
  <c r="E46" i="3"/>
  <c r="D74" i="3" s="1"/>
  <c r="Q26" i="7"/>
  <c r="W24" i="7"/>
  <c r="AD24" i="7"/>
  <c r="V23" i="7"/>
  <c r="V32" i="7" s="1"/>
  <c r="W31" i="7"/>
  <c r="AD31" i="7"/>
  <c r="X31" i="7"/>
  <c r="S31" i="7"/>
  <c r="Z31" i="7"/>
  <c r="AE27" i="7"/>
  <c r="AL27" i="7"/>
  <c r="U22" i="7"/>
  <c r="M21" i="7"/>
  <c r="Q24" i="7"/>
  <c r="K23" i="7"/>
  <c r="K32" i="7" s="1"/>
  <c r="W26" i="7"/>
  <c r="AD26" i="7"/>
  <c r="Z28" i="7"/>
  <c r="S28" i="7"/>
  <c r="W21" i="7"/>
  <c r="AE22" i="7"/>
  <c r="E24" i="9"/>
  <c r="K10" i="11" s="1"/>
  <c r="Q22" i="7"/>
  <c r="I21" i="7"/>
  <c r="AF41" i="7"/>
  <c r="Y41" i="7"/>
  <c r="AP22" i="7"/>
  <c r="AP21" i="7" s="1"/>
  <c r="AH21" i="7"/>
  <c r="H21" i="7"/>
  <c r="H32" i="7" s="1"/>
  <c r="P22" i="7"/>
  <c r="O23" i="7"/>
  <c r="O32" i="7" s="1"/>
  <c r="D13" i="9"/>
  <c r="F11" i="11" s="1"/>
  <c r="F9" i="11" s="1"/>
  <c r="F13" i="11" s="1"/>
  <c r="E13" i="9"/>
  <c r="I23" i="7"/>
  <c r="I32" i="7" s="1"/>
  <c r="E6" i="8" s="1"/>
  <c r="F8" i="9"/>
  <c r="F5" i="9" s="1"/>
  <c r="F5" i="13" s="1"/>
  <c r="P6" i="11"/>
  <c r="Z30" i="7"/>
  <c r="S30" i="7"/>
  <c r="Y30" i="7" s="1"/>
  <c r="G18" i="9" s="1"/>
  <c r="X30" i="7"/>
  <c r="AP27" i="7"/>
  <c r="AI27" i="7"/>
  <c r="J24" i="5"/>
  <c r="X24" i="7"/>
  <c r="S24" i="7"/>
  <c r="R23" i="7"/>
  <c r="R32" i="7" s="1"/>
  <c r="Z24" i="7"/>
  <c r="AR30" i="7"/>
  <c r="AS30" i="7" s="1"/>
  <c r="AK30" i="7"/>
  <c r="AT22" i="7"/>
  <c r="AT21" i="7" s="1"/>
  <c r="AL21" i="7"/>
  <c r="AA21" i="7"/>
  <c r="AI22" i="7"/>
  <c r="Z26" i="7"/>
  <c r="X26" i="7"/>
  <c r="S26" i="7"/>
  <c r="J34" i="5"/>
  <c r="E68" i="3"/>
  <c r="D75" i="3" s="1"/>
  <c r="D77" i="3" s="1"/>
  <c r="AH29" i="7"/>
  <c r="AA29" i="7"/>
  <c r="AF29" i="7"/>
  <c r="AB28" i="7" l="1"/>
  <c r="U28" i="7"/>
  <c r="X28" i="7"/>
  <c r="U6" i="11"/>
  <c r="G8" i="9"/>
  <c r="G5" i="9" s="1"/>
  <c r="G5" i="13" s="1"/>
  <c r="AB23" i="7"/>
  <c r="AJ24" i="7"/>
  <c r="AC24" i="7"/>
  <c r="L5" i="6"/>
  <c r="N5" i="6" s="1"/>
  <c r="O4" i="6"/>
  <c r="H11" i="7"/>
  <c r="H12" i="7" s="1"/>
  <c r="N4" i="6"/>
  <c r="AP25" i="7"/>
  <c r="AN25" i="7"/>
  <c r="AI25" i="7"/>
  <c r="AO25" i="7" s="1"/>
  <c r="I21" i="9" s="1"/>
  <c r="M23" i="7"/>
  <c r="Q27" i="7"/>
  <c r="F16" i="9" s="1"/>
  <c r="M32" i="7"/>
  <c r="AR29" i="7"/>
  <c r="AS29" i="7" s="1"/>
  <c r="AK29" i="7"/>
  <c r="AB27" i="7"/>
  <c r="U27" i="7"/>
  <c r="T23" i="7"/>
  <c r="T32" i="7" s="1"/>
  <c r="X27" i="7"/>
  <c r="Y28" i="7"/>
  <c r="G20" i="9" s="1"/>
  <c r="AB22" i="7"/>
  <c r="T21" i="7"/>
  <c r="D81" i="3"/>
  <c r="AI21" i="7"/>
  <c r="AQ22" i="7"/>
  <c r="AQ21" i="7" s="1"/>
  <c r="AA24" i="7"/>
  <c r="AH24" i="7"/>
  <c r="AF24" i="7"/>
  <c r="Z23" i="7"/>
  <c r="Z32" i="7" s="1"/>
  <c r="AQ27" i="7"/>
  <c r="C6" i="8"/>
  <c r="F6" i="8"/>
  <c r="D6" i="8" s="1"/>
  <c r="AC22" i="7"/>
  <c r="U21" i="7"/>
  <c r="AE31" i="7"/>
  <c r="AL31" i="7"/>
  <c r="W23" i="7"/>
  <c r="W32" i="7" s="1"/>
  <c r="AG29" i="7"/>
  <c r="H17" i="9" s="1"/>
  <c r="Y26" i="7"/>
  <c r="K11" i="11"/>
  <c r="K9" i="11" s="1"/>
  <c r="Y22" i="7"/>
  <c r="Q21" i="7"/>
  <c r="F24" i="9" s="1"/>
  <c r="P10" i="11" s="1"/>
  <c r="AH28" i="7"/>
  <c r="AF28" i="7"/>
  <c r="AA28" i="7"/>
  <c r="AF31" i="7"/>
  <c r="AH31" i="7"/>
  <c r="AA31" i="7"/>
  <c r="AT29" i="7"/>
  <c r="AU29" i="7" s="1"/>
  <c r="AM29" i="7"/>
  <c r="AP29" i="7"/>
  <c r="AI29" i="7"/>
  <c r="AN29" i="7"/>
  <c r="S23" i="7"/>
  <c r="S32" i="7" s="1"/>
  <c r="Y24" i="7"/>
  <c r="X22" i="7"/>
  <c r="P21" i="7"/>
  <c r="AN41" i="7"/>
  <c r="AG41" i="7"/>
  <c r="F13" i="9"/>
  <c r="Q23" i="7"/>
  <c r="Y31" i="7"/>
  <c r="E7" i="4"/>
  <c r="P7" i="11"/>
  <c r="P8" i="11" s="1"/>
  <c r="AJ7" i="11"/>
  <c r="U7" i="11"/>
  <c r="U8" i="11" s="1"/>
  <c r="J35" i="5"/>
  <c r="K7" i="11"/>
  <c r="K8" i="11" s="1"/>
  <c r="Z7" i="11"/>
  <c r="AE7" i="11"/>
  <c r="AH26" i="7"/>
  <c r="AF26" i="7"/>
  <c r="AA26" i="7"/>
  <c r="X23" i="7"/>
  <c r="AH30" i="7"/>
  <c r="AF30" i="7"/>
  <c r="AA30" i="7"/>
  <c r="AG30" i="7" s="1"/>
  <c r="H18" i="9" s="1"/>
  <c r="P32" i="7"/>
  <c r="P36" i="7" s="1"/>
  <c r="P37" i="7" s="1"/>
  <c r="P39" i="7" s="1"/>
  <c r="AE21" i="7"/>
  <c r="AM22" i="7"/>
  <c r="AL26" i="7"/>
  <c r="AE26" i="7"/>
  <c r="AM27" i="7"/>
  <c r="AT27" i="7"/>
  <c r="AU27" i="7" s="1"/>
  <c r="AE24" i="7"/>
  <c r="AL24" i="7"/>
  <c r="AD23" i="7"/>
  <c r="AD32" i="7" s="1"/>
  <c r="AB21" i="7" l="1"/>
  <c r="AJ22" i="7"/>
  <c r="AK24" i="7"/>
  <c r="AR24" i="7"/>
  <c r="U23" i="7"/>
  <c r="U32" i="7" s="1"/>
  <c r="Y27" i="7"/>
  <c r="G16" i="9" s="1"/>
  <c r="O5" i="6"/>
  <c r="Q5" i="6" s="1"/>
  <c r="Q4" i="6"/>
  <c r="Q7" i="6" s="1"/>
  <c r="R4" i="6"/>
  <c r="J11" i="7"/>
  <c r="J12" i="7" s="1"/>
  <c r="AB32" i="7"/>
  <c r="AJ27" i="7"/>
  <c r="AC27" i="7"/>
  <c r="AG27" i="7" s="1"/>
  <c r="H16" i="9" s="1"/>
  <c r="AF27" i="7"/>
  <c r="AF23" i="7" s="1"/>
  <c r="AQ25" i="7"/>
  <c r="AW25" i="7" s="1"/>
  <c r="AV25" i="7"/>
  <c r="AO29" i="7"/>
  <c r="I17" i="9" s="1"/>
  <c r="AG31" i="7"/>
  <c r="N7" i="6"/>
  <c r="AC28" i="7"/>
  <c r="AC23" i="7" s="1"/>
  <c r="AJ28" i="7"/>
  <c r="AL23" i="7"/>
  <c r="AL32" i="7" s="1"/>
  <c r="AM24" i="7"/>
  <c r="AT24" i="7"/>
  <c r="AG26" i="7"/>
  <c r="AC21" i="7"/>
  <c r="AK22" i="7"/>
  <c r="AH23" i="7"/>
  <c r="AH32" i="7" s="1"/>
  <c r="AN24" i="7"/>
  <c r="AI24" i="7"/>
  <c r="AP24" i="7"/>
  <c r="AE23" i="7"/>
  <c r="AE32" i="7" s="1"/>
  <c r="AM26" i="7"/>
  <c r="AT26" i="7"/>
  <c r="AU26" i="7" s="1"/>
  <c r="AN30" i="7"/>
  <c r="AP30" i="7"/>
  <c r="AI30" i="7"/>
  <c r="AO30" i="7" s="1"/>
  <c r="I18" i="9" s="1"/>
  <c r="AO41" i="7"/>
  <c r="AV41" i="7"/>
  <c r="AW41" i="7" s="1"/>
  <c r="G13" i="9"/>
  <c r="AT31" i="7"/>
  <c r="AU31" i="7" s="1"/>
  <c r="AM31" i="7"/>
  <c r="AA23" i="7"/>
  <c r="AA32" i="7" s="1"/>
  <c r="AG24" i="7"/>
  <c r="AU22" i="7"/>
  <c r="AU21" i="7" s="1"/>
  <c r="AM21" i="7"/>
  <c r="AP26" i="7"/>
  <c r="AN26" i="7"/>
  <c r="AI26" i="7"/>
  <c r="AO26" i="7" s="1"/>
  <c r="K13" i="11"/>
  <c r="Q32" i="7"/>
  <c r="AQ29" i="7"/>
  <c r="AW29" i="7" s="1"/>
  <c r="AV29" i="7"/>
  <c r="AG22" i="7"/>
  <c r="Y21" i="7"/>
  <c r="G24" i="9" s="1"/>
  <c r="U10" i="11" s="1"/>
  <c r="C67" i="3"/>
  <c r="E67" i="3" s="1"/>
  <c r="D15" i="9" s="1"/>
  <c r="F15" i="11" s="1"/>
  <c r="F14" i="11" s="1"/>
  <c r="F16" i="11" s="1"/>
  <c r="F18" i="11" s="1"/>
  <c r="E14" i="12" s="1"/>
  <c r="G7" i="4"/>
  <c r="P11" i="11"/>
  <c r="P9" i="11" s="1"/>
  <c r="P13" i="11" s="1"/>
  <c r="AF22" i="7"/>
  <c r="X21" i="7"/>
  <c r="X32" i="7" s="1"/>
  <c r="X36" i="7" s="1"/>
  <c r="X37" i="7" s="1"/>
  <c r="X39" i="7" s="1"/>
  <c r="AI31" i="7"/>
  <c r="AO31" i="7" s="1"/>
  <c r="AP31" i="7"/>
  <c r="AN31" i="7"/>
  <c r="AN28" i="7"/>
  <c r="AI28" i="7"/>
  <c r="AP28" i="7"/>
  <c r="D6" i="9"/>
  <c r="D15" i="13"/>
  <c r="AG28" i="7" l="1"/>
  <c r="H20" i="9" s="1"/>
  <c r="AS24" i="7"/>
  <c r="L11" i="7"/>
  <c r="L12" i="7" s="1"/>
  <c r="R5" i="6"/>
  <c r="T5" i="6" s="1"/>
  <c r="T4" i="6"/>
  <c r="T7" i="6" s="1"/>
  <c r="AJ6" i="11" s="1"/>
  <c r="AJ8" i="11" s="1"/>
  <c r="AJ13" i="11" s="1"/>
  <c r="AJ16" i="11" s="1"/>
  <c r="AJ17" i="11" s="1"/>
  <c r="AJ18" i="11" s="1"/>
  <c r="AK23" i="7"/>
  <c r="Y23" i="7"/>
  <c r="AC32" i="7"/>
  <c r="H8" i="9"/>
  <c r="H5" i="9" s="1"/>
  <c r="H5" i="13" s="1"/>
  <c r="Z6" i="11"/>
  <c r="Z8" i="11" s="1"/>
  <c r="AR27" i="7"/>
  <c r="AK27" i="7"/>
  <c r="AO27" i="7" s="1"/>
  <c r="I16" i="9" s="1"/>
  <c r="AN27" i="7"/>
  <c r="AE6" i="11"/>
  <c r="AE8" i="11" s="1"/>
  <c r="I8" i="9"/>
  <c r="I5" i="9" s="1"/>
  <c r="I5" i="13" s="1"/>
  <c r="AJ21" i="7"/>
  <c r="AR22" i="7"/>
  <c r="AR21" i="7" s="1"/>
  <c r="AR28" i="7"/>
  <c r="AS28" i="7" s="1"/>
  <c r="AK28" i="7"/>
  <c r="AO28" i="7" s="1"/>
  <c r="I20" i="9" s="1"/>
  <c r="AJ23" i="7"/>
  <c r="AJ32" i="7" s="1"/>
  <c r="AP23" i="7"/>
  <c r="AP32" i="7" s="1"/>
  <c r="AQ24" i="7"/>
  <c r="AV24" i="7"/>
  <c r="D16" i="13"/>
  <c r="E14" i="13" s="1"/>
  <c r="I14" i="13" s="1"/>
  <c r="H13" i="9"/>
  <c r="AG23" i="7"/>
  <c r="AO24" i="7"/>
  <c r="AI23" i="7"/>
  <c r="AI32" i="7" s="1"/>
  <c r="AT23" i="7"/>
  <c r="AT32" i="7" s="1"/>
  <c r="AU24" i="7"/>
  <c r="AU23" i="7" s="1"/>
  <c r="AU32" i="7" s="1"/>
  <c r="C66" i="3"/>
  <c r="E66" i="3" s="1"/>
  <c r="H7" i="4"/>
  <c r="Q36" i="7"/>
  <c r="Q37" i="7" s="1"/>
  <c r="Q39" i="7" s="1"/>
  <c r="I6" i="8"/>
  <c r="AV26" i="7"/>
  <c r="AQ26" i="7"/>
  <c r="AW26" i="7" s="1"/>
  <c r="AN23" i="7"/>
  <c r="AM23" i="7"/>
  <c r="AM32" i="7" s="1"/>
  <c r="AQ28" i="7"/>
  <c r="AV31" i="7"/>
  <c r="AQ31" i="7"/>
  <c r="AW31" i="7" s="1"/>
  <c r="U11" i="11"/>
  <c r="U9" i="11" s="1"/>
  <c r="U13" i="11" s="1"/>
  <c r="U16" i="11" s="1"/>
  <c r="G9" i="9"/>
  <c r="G6" i="13" s="1"/>
  <c r="G7" i="13" s="1"/>
  <c r="AS22" i="7"/>
  <c r="AS21" i="7" s="1"/>
  <c r="AK21" i="7"/>
  <c r="AK32" i="7" s="1"/>
  <c r="AN22" i="7"/>
  <c r="AF21" i="7"/>
  <c r="AF32" i="7" s="1"/>
  <c r="AF36" i="7" s="1"/>
  <c r="AF37" i="7" s="1"/>
  <c r="AF39" i="7" s="1"/>
  <c r="I13" i="12"/>
  <c r="AO22" i="7"/>
  <c r="AG21" i="7"/>
  <c r="H24" i="9" s="1"/>
  <c r="Z10" i="11" s="1"/>
  <c r="Y32" i="7"/>
  <c r="AQ30" i="7"/>
  <c r="AW30" i="7" s="1"/>
  <c r="AV30" i="7"/>
  <c r="AR23" i="7" l="1"/>
  <c r="AR32" i="7" s="1"/>
  <c r="AS23" i="7"/>
  <c r="AS32" i="7" s="1"/>
  <c r="AW28" i="7"/>
  <c r="AV28" i="7"/>
  <c r="AS27" i="7"/>
  <c r="AW27" i="7" s="1"/>
  <c r="AV27" i="7"/>
  <c r="U17" i="11"/>
  <c r="U18" i="11" s="1"/>
  <c r="Q14" i="12" s="1"/>
  <c r="AG32" i="7"/>
  <c r="AV23" i="7"/>
  <c r="AV32" i="7" s="1"/>
  <c r="AV36" i="7" s="1"/>
  <c r="AV37" i="7" s="1"/>
  <c r="AV39" i="7" s="1"/>
  <c r="I10" i="12"/>
  <c r="I9" i="12" s="1"/>
  <c r="E8" i="4"/>
  <c r="H9" i="9"/>
  <c r="H6" i="13" s="1"/>
  <c r="H7" i="13" s="1"/>
  <c r="Z11" i="11"/>
  <c r="Z9" i="11" s="1"/>
  <c r="Z13" i="11" s="1"/>
  <c r="Z16" i="11" s="1"/>
  <c r="AQ23" i="7"/>
  <c r="AQ32" i="7" s="1"/>
  <c r="AW24" i="7"/>
  <c r="M6" i="8"/>
  <c r="Y36" i="7"/>
  <c r="Y37" i="7" s="1"/>
  <c r="Y39" i="7" s="1"/>
  <c r="G6" i="8"/>
  <c r="J6" i="8"/>
  <c r="H6" i="8" s="1"/>
  <c r="E10" i="1"/>
  <c r="E11" i="1" s="1"/>
  <c r="E12" i="12" s="1"/>
  <c r="D80" i="3"/>
  <c r="D7" i="9" s="1"/>
  <c r="D5" i="9" s="1"/>
  <c r="D14" i="9"/>
  <c r="E69" i="3"/>
  <c r="D76" i="3"/>
  <c r="AO21" i="7"/>
  <c r="I24" i="9" s="1"/>
  <c r="AE10" i="11" s="1"/>
  <c r="AW22" i="7"/>
  <c r="AW21" i="7" s="1"/>
  <c r="AV22" i="7"/>
  <c r="AV21" i="7" s="1"/>
  <c r="AN21" i="7"/>
  <c r="AN32" i="7"/>
  <c r="AN36" i="7" s="1"/>
  <c r="AN37" i="7" s="1"/>
  <c r="AN39" i="7" s="1"/>
  <c r="AO23" i="7"/>
  <c r="AO32" i="7" s="1"/>
  <c r="I13" i="9"/>
  <c r="E15" i="13"/>
  <c r="I15" i="13" s="1"/>
  <c r="I16" i="13" s="1"/>
  <c r="AW23" i="7" l="1"/>
  <c r="U6" i="8"/>
  <c r="AO36" i="7"/>
  <c r="AO37" i="7" s="1"/>
  <c r="AO39" i="7" s="1"/>
  <c r="E7" i="12"/>
  <c r="E8" i="12" s="1"/>
  <c r="D9" i="9"/>
  <c r="D6" i="13" s="1"/>
  <c r="K6" i="8"/>
  <c r="N6" i="8"/>
  <c r="L6" i="8" s="1"/>
  <c r="D5" i="13"/>
  <c r="AW32" i="7"/>
  <c r="G8" i="4"/>
  <c r="Q6" i="8"/>
  <c r="AG36" i="7"/>
  <c r="AG37" i="7" s="1"/>
  <c r="AG39" i="7" s="1"/>
  <c r="I12" i="12"/>
  <c r="M12" i="12" s="1"/>
  <c r="Q12" i="12" s="1"/>
  <c r="U12" i="12" s="1"/>
  <c r="Y12" i="12" s="1"/>
  <c r="E15" i="12"/>
  <c r="AE11" i="11"/>
  <c r="AE9" i="11" s="1"/>
  <c r="AE13" i="11" s="1"/>
  <c r="AE16" i="11" s="1"/>
  <c r="I9" i="9"/>
  <c r="I6" i="13" s="1"/>
  <c r="I7" i="13" s="1"/>
  <c r="Z17" i="11"/>
  <c r="Z18" i="11" s="1"/>
  <c r="U14" i="12" s="1"/>
  <c r="AE17" i="11" l="1"/>
  <c r="AE18" i="11" s="1"/>
  <c r="Y14" i="12" s="1"/>
  <c r="H8" i="4"/>
  <c r="D7" i="13"/>
  <c r="AW36" i="7"/>
  <c r="AW37" i="7" s="1"/>
  <c r="AW39" i="7" s="1"/>
  <c r="Y6" i="8"/>
  <c r="E16" i="12"/>
  <c r="R6" i="8"/>
  <c r="P6" i="8" s="1"/>
  <c r="O6" i="8"/>
  <c r="D28" i="9"/>
  <c r="E4" i="9" s="1"/>
  <c r="S6" i="8"/>
  <c r="V6" i="8"/>
  <c r="T6" i="8" s="1"/>
  <c r="W6" i="8" l="1"/>
  <c r="Z6" i="8"/>
  <c r="X6" i="8" s="1"/>
  <c r="E9" i="4"/>
  <c r="G9" i="4" l="1"/>
  <c r="H9" i="4" l="1"/>
  <c r="E10" i="4" l="1"/>
  <c r="G10" i="4" l="1"/>
  <c r="H10" i="4" l="1"/>
  <c r="E11" i="4" l="1"/>
  <c r="G11" i="4" l="1"/>
  <c r="H11" i="4" l="1"/>
  <c r="E12" i="4" l="1"/>
  <c r="G12" i="4" l="1"/>
  <c r="H12" i="4" l="1"/>
  <c r="E13" i="4" l="1"/>
  <c r="G13" i="4" s="1"/>
  <c r="H13" i="4" s="1"/>
  <c r="E14" i="4" l="1"/>
  <c r="G14" i="4" s="1"/>
  <c r="H14" i="4" s="1"/>
  <c r="E15" i="4" l="1"/>
  <c r="G15" i="4" s="1"/>
  <c r="H15" i="4" s="1"/>
  <c r="E16" i="4" l="1"/>
  <c r="G16" i="4" s="1"/>
  <c r="H16" i="4" s="1"/>
  <c r="E17" i="4" l="1"/>
  <c r="G17" i="4" s="1"/>
  <c r="H17" i="4" s="1"/>
  <c r="E18" i="4" l="1"/>
  <c r="G18" i="4" s="1"/>
  <c r="H18" i="4" s="1"/>
  <c r="E19" i="4" l="1"/>
  <c r="G19" i="4" l="1"/>
  <c r="E15" i="9"/>
  <c r="K15" i="11" s="1"/>
  <c r="K14" i="11" s="1"/>
  <c r="K16" i="11" s="1"/>
  <c r="K17" i="11" l="1"/>
  <c r="E14" i="9"/>
  <c r="H19" i="4"/>
  <c r="I7" i="12" l="1"/>
  <c r="E9" i="9"/>
  <c r="M10" i="12"/>
  <c r="M9" i="12" s="1"/>
  <c r="E20" i="4"/>
  <c r="K18" i="11"/>
  <c r="I14" i="12" s="1"/>
  <c r="G20" i="4" l="1"/>
  <c r="E6" i="13"/>
  <c r="E28" i="9"/>
  <c r="M13" i="12"/>
  <c r="I15" i="12"/>
  <c r="I6" i="12" l="1"/>
  <c r="I8" i="12" s="1"/>
  <c r="I16" i="12" s="1"/>
  <c r="F4" i="9"/>
  <c r="H20" i="4"/>
  <c r="E21" i="4" l="1"/>
  <c r="G21" i="4" l="1"/>
  <c r="H21" i="4" l="1"/>
  <c r="E22" i="4" l="1"/>
  <c r="G22" i="4" l="1"/>
  <c r="H22" i="4" l="1"/>
  <c r="E23" i="4" l="1"/>
  <c r="G23" i="4" l="1"/>
  <c r="H23" i="4" l="1"/>
  <c r="E24" i="4" l="1"/>
  <c r="G24" i="4" l="1"/>
  <c r="H24" i="4" l="1"/>
  <c r="E25" i="4" l="1"/>
  <c r="G25" i="4" s="1"/>
  <c r="H25" i="4"/>
  <c r="E26" i="4" l="1"/>
  <c r="G26" i="4" s="1"/>
  <c r="H26" i="4"/>
  <c r="E27" i="4" l="1"/>
  <c r="G27" i="4" s="1"/>
  <c r="H27" i="4"/>
  <c r="E28" i="4" l="1"/>
  <c r="G28" i="4" s="1"/>
  <c r="H28" i="4"/>
  <c r="E29" i="4" l="1"/>
  <c r="G29" i="4" l="1"/>
  <c r="F15" i="9"/>
  <c r="P15" i="11" s="1"/>
  <c r="P14" i="11" s="1"/>
  <c r="P16" i="11" s="1"/>
  <c r="P17" i="11" l="1"/>
  <c r="P18" i="11"/>
  <c r="M14" i="12" s="1"/>
  <c r="F14" i="9"/>
  <c r="H29" i="4"/>
  <c r="M7" i="12" l="1"/>
  <c r="F9" i="9"/>
  <c r="Q13" i="12"/>
  <c r="M15" i="12"/>
  <c r="U7" i="12"/>
  <c r="Y7" i="12"/>
  <c r="Q7" i="12"/>
  <c r="F6" i="13" l="1"/>
  <c r="F7" i="13" s="1"/>
  <c r="F28" i="9"/>
  <c r="U13" i="12"/>
  <c r="Q15" i="12"/>
  <c r="D10" i="13" l="1"/>
  <c r="G10" i="13"/>
  <c r="H10" i="13" s="1"/>
  <c r="M6" i="12"/>
  <c r="M8" i="12" s="1"/>
  <c r="M16" i="12" s="1"/>
  <c r="G4" i="9"/>
  <c r="G28" i="9" s="1"/>
  <c r="Y13" i="12"/>
  <c r="Y15" i="12" s="1"/>
  <c r="U15" i="12"/>
  <c r="E19" i="13" l="1"/>
  <c r="Q6" i="12"/>
  <c r="Q8" i="12" s="1"/>
  <c r="Q16" i="12" s="1"/>
  <c r="H4" i="9"/>
  <c r="H28" i="9" s="1"/>
  <c r="U6" i="12" l="1"/>
  <c r="U8" i="12" s="1"/>
  <c r="U16" i="12" s="1"/>
  <c r="I4" i="9"/>
  <c r="I28" i="9" s="1"/>
  <c r="Y6" i="12" s="1"/>
  <c r="Y8" i="12" s="1"/>
  <c r="Y16" i="12" s="1"/>
</calcChain>
</file>

<file path=xl/sharedStrings.xml><?xml version="1.0" encoding="utf-8"?>
<sst xmlns="http://schemas.openxmlformats.org/spreadsheetml/2006/main" count="690" uniqueCount="288">
  <si>
    <t>Nombre</t>
  </si>
  <si>
    <t>Numero de Acciones</t>
  </si>
  <si>
    <t>Valor</t>
  </si>
  <si>
    <t>1.- Alvarez Velázquez Juan Carlos</t>
  </si>
  <si>
    <t>2.- Pérez Garduño José Emiliano</t>
  </si>
  <si>
    <t>3.- Reyes Ortega Ulises Axel­</t>
  </si>
  <si>
    <t>Valor de Accion</t>
  </si>
  <si>
    <t>4.- Garcia Ibañez Luis Arturo</t>
  </si>
  <si>
    <t>5.- Rosas Hernandez  Oscar Andres</t>
  </si>
  <si>
    <t>Total</t>
  </si>
  <si>
    <t xml:space="preserve">6-Otros </t>
  </si>
  <si>
    <t>Capital social despues de pago a capital</t>
  </si>
  <si>
    <t>Remuneraciones</t>
  </si>
  <si>
    <t>Area</t>
  </si>
  <si>
    <t>Puesto</t>
  </si>
  <si>
    <t>No. De Personas</t>
  </si>
  <si>
    <t>Sueldo/salario mensual</t>
  </si>
  <si>
    <t>Prestaciones y Carga Social 35%</t>
  </si>
  <si>
    <t>Salario/Sueldo mensual total</t>
  </si>
  <si>
    <t>Salario/Sueldo total Anual</t>
  </si>
  <si>
    <t>Administrativos</t>
  </si>
  <si>
    <t>CEO</t>
  </si>
  <si>
    <t>R.H.</t>
  </si>
  <si>
    <t>Scrum Master</t>
  </si>
  <si>
    <t>Producción</t>
  </si>
  <si>
    <t>Móbiles</t>
  </si>
  <si>
    <t>Servicios</t>
  </si>
  <si>
    <t>Marketing</t>
  </si>
  <si>
    <t>Publicista</t>
  </si>
  <si>
    <t>Redes Sociales</t>
  </si>
  <si>
    <t>Testing</t>
  </si>
  <si>
    <t>Pentesting</t>
  </si>
  <si>
    <t>Tester</t>
  </si>
  <si>
    <t>Sistemas</t>
  </si>
  <si>
    <t>Control de equipos y Seguridad</t>
  </si>
  <si>
    <t>Administrador de Sistemas</t>
  </si>
  <si>
    <t>Comedor</t>
  </si>
  <si>
    <t>Cocinero</t>
  </si>
  <si>
    <t>Sanitarios</t>
  </si>
  <si>
    <t>Personal de Limpieza</t>
  </si>
  <si>
    <t>Servicio Médico</t>
  </si>
  <si>
    <t>Psicólogo</t>
  </si>
  <si>
    <t>Ventas</t>
  </si>
  <si>
    <t>Contador</t>
  </si>
  <si>
    <t>Abogado</t>
  </si>
  <si>
    <t>ESTIMADO DE DEPRECIACIÓN DEL ACTIVO FIJO (INMUEBLES, PLANTA Y EQUIPO)</t>
  </si>
  <si>
    <t>Los porcentajes de depreciación están en el artículo 34 de la Ley del ISR</t>
  </si>
  <si>
    <t>UBICACIÓN: DEPTO/ÁREA</t>
  </si>
  <si>
    <t>Inversión (activo fijo)</t>
  </si>
  <si>
    <t>% de dep. anual máximo ley ISR</t>
  </si>
  <si>
    <t>Vida útil (años)</t>
  </si>
  <si>
    <t>Costo de adquisición</t>
  </si>
  <si>
    <t>Valor residual estimado</t>
  </si>
  <si>
    <t>depreciación anual por unidad por el método de linea recta</t>
  </si>
  <si>
    <t>Número de unidades</t>
  </si>
  <si>
    <t>Monto total de dep. anual</t>
  </si>
  <si>
    <t>Monto de la depreciación mensual</t>
  </si>
  <si>
    <t>PRODUCCIÓN/ SERVICIO</t>
  </si>
  <si>
    <t>Mobiliario y equipo de oficina</t>
  </si>
  <si>
    <t xml:space="preserve">           Escritorio</t>
  </si>
  <si>
    <t xml:space="preserve">           Silla ejecutiva</t>
  </si>
  <si>
    <t xml:space="preserve">           Archivero</t>
  </si>
  <si>
    <t>Mesas para Juntas</t>
  </si>
  <si>
    <t>Equipo de cómputo</t>
  </si>
  <si>
    <t xml:space="preserve">           Computadora</t>
  </si>
  <si>
    <t xml:space="preserve">           Impresora</t>
  </si>
  <si>
    <t>Servidores</t>
  </si>
  <si>
    <t>TOTAL DE DEPRECIACIÓN ANUAL A CARGO DEL ÁREA DE PRODUCCIÓN O DE PRESTACIÓN DE SERVICIOS</t>
  </si>
  <si>
    <t>VENTAS</t>
  </si>
  <si>
    <t>TOTAL DE DEPRECIACIÓN ANUAL A CARGO DEL ÁREA DE DE VENTAS</t>
  </si>
  <si>
    <t>ADMINISTRACIÓN</t>
  </si>
  <si>
    <t>TOTAL DE DEPRECIACIÓN ANUAL A CARGO DEL ÁREA DE ADMINISTRACIÓN</t>
  </si>
  <si>
    <t>NOTA</t>
  </si>
  <si>
    <t>Para el cálculo de la depreciación utilizar el método de linea recta</t>
  </si>
  <si>
    <t>TOTAL DE DEPRECIACIÓN</t>
  </si>
  <si>
    <t>INVERSION TOTAL</t>
  </si>
  <si>
    <t>PASO 1</t>
  </si>
  <si>
    <t>RECURSOS PARA CONSTRUIR, REMODELAR Y ACONDICIONAR (GASTOS DE INSTALACIÓN)</t>
  </si>
  <si>
    <t>Monto</t>
  </si>
  <si>
    <t>Albañileria</t>
  </si>
  <si>
    <t>Plomería</t>
  </si>
  <si>
    <t>Pintura</t>
  </si>
  <si>
    <t>Herrería</t>
  </si>
  <si>
    <t>Electricidad</t>
  </si>
  <si>
    <t>Acondicionamiento de las áreas de trabajo</t>
  </si>
  <si>
    <t>Varios</t>
  </si>
  <si>
    <t>Imprevistos</t>
  </si>
  <si>
    <t>Espacio requerido:</t>
  </si>
  <si>
    <t>mts. Cuadrados</t>
  </si>
  <si>
    <t>PASO 2</t>
  </si>
  <si>
    <t>RECURSOS PARA EQUIPAR (INVERSIÓN FIJA)</t>
  </si>
  <si>
    <t>Concepto</t>
  </si>
  <si>
    <t>Unidades</t>
  </si>
  <si>
    <t>Precio Unitario</t>
  </si>
  <si>
    <t>Propiedades, planta y equipo (activo fijo)</t>
  </si>
  <si>
    <t>Terrenos</t>
  </si>
  <si>
    <t>Edificios</t>
  </si>
  <si>
    <t xml:space="preserve">     Escritorios</t>
  </si>
  <si>
    <t xml:space="preserve">     Mesas para juntas</t>
  </si>
  <si>
    <t xml:space="preserve">     Sillas</t>
  </si>
  <si>
    <t xml:space="preserve">     Archiveros</t>
  </si>
  <si>
    <t xml:space="preserve">    Computadoras</t>
  </si>
  <si>
    <t xml:space="preserve">    Impresoras</t>
  </si>
  <si>
    <t xml:space="preserve">    Servidores</t>
  </si>
  <si>
    <t xml:space="preserve">    Scanner</t>
  </si>
  <si>
    <t xml:space="preserve">    Ploters</t>
  </si>
  <si>
    <t>Equipo de entrega o de reparto</t>
  </si>
  <si>
    <t xml:space="preserve">    Camionetas</t>
  </si>
  <si>
    <t xml:space="preserve">    Motocicletas</t>
  </si>
  <si>
    <t xml:space="preserve">    Automóviles</t>
  </si>
  <si>
    <t>Equipo de producción</t>
  </si>
  <si>
    <t xml:space="preserve">    Maquinaria</t>
  </si>
  <si>
    <t xml:space="preserve">    Mesas de trabajo</t>
  </si>
  <si>
    <t xml:space="preserve">   Herramientas y equipo</t>
  </si>
  <si>
    <t>PASO 3</t>
  </si>
  <si>
    <t>RECURSOS PARA INICIAR</t>
  </si>
  <si>
    <t>Costo/mes</t>
  </si>
  <si>
    <t>Meses</t>
  </si>
  <si>
    <t>Depósitos de renta  (1)</t>
  </si>
  <si>
    <t>Pago de renta mensual (meses que se pagarán previos a la operación de la empresa)</t>
  </si>
  <si>
    <t xml:space="preserve">Publicidad inicial </t>
  </si>
  <si>
    <t>Licencias y permisos gubernamentales para iniciar operaciones (abrir el negocio)</t>
  </si>
  <si>
    <t>Acta constitutiva</t>
  </si>
  <si>
    <t>Contratación Líneas telefónicas</t>
  </si>
  <si>
    <t>Contratación de gas</t>
  </si>
  <si>
    <t>Contratación de cable</t>
  </si>
  <si>
    <t xml:space="preserve">Material de limpieza (Escobas, cubetas, jergas) </t>
  </si>
  <si>
    <t>Papelería</t>
  </si>
  <si>
    <t>Licencias de software</t>
  </si>
  <si>
    <t>Capital de trabajo</t>
  </si>
  <si>
    <t xml:space="preserve">      Sueldos para el primer mes de operación y si es necesario para algunos meses previos</t>
  </si>
  <si>
    <t xml:space="preserve">      Materia prima para el primer mes de operación (inventarios)</t>
  </si>
  <si>
    <t>Pago a capital (en caso de solicitar financiamiento)</t>
  </si>
  <si>
    <t>Pago de intereses (en caso de solicitar financiamiento)</t>
  </si>
  <si>
    <t>Total (previo a financiamiento)</t>
  </si>
  <si>
    <t>Paso 4</t>
  </si>
  <si>
    <t>INVERSIÓN TOTAL</t>
  </si>
  <si>
    <t>Recursos para remodelar</t>
  </si>
  <si>
    <t>Recursos para equipar</t>
  </si>
  <si>
    <t>Recursos para iniciar</t>
  </si>
  <si>
    <t>Total de inversión</t>
  </si>
  <si>
    <t>Total de inversión(previo a financiamiento)</t>
  </si>
  <si>
    <t>Disponible / capital social</t>
  </si>
  <si>
    <t>OTROS INVERSIONISTAS</t>
  </si>
  <si>
    <t>Financiamiento requerido</t>
  </si>
  <si>
    <t>Servicio</t>
  </si>
  <si>
    <t>Cantidad</t>
  </si>
  <si>
    <t>Precio</t>
  </si>
  <si>
    <t>Ingresos</t>
  </si>
  <si>
    <t>Suscripcion</t>
  </si>
  <si>
    <t>Publicidad</t>
  </si>
  <si>
    <t>Ingresos Anuales</t>
  </si>
  <si>
    <t>PUNTO DE EQUILIBRIO</t>
  </si>
  <si>
    <t>Mensual</t>
  </si>
  <si>
    <t>Anual</t>
  </si>
  <si>
    <t>P.E. en Q</t>
  </si>
  <si>
    <t>P.E. en $</t>
  </si>
  <si>
    <t>Financiamiento</t>
  </si>
  <si>
    <t>Mes</t>
  </si>
  <si>
    <t>Interes Mensual</t>
  </si>
  <si>
    <t>Pago Mensual</t>
  </si>
  <si>
    <t>Pago a principal</t>
  </si>
  <si>
    <t>Deuda despues del Pago</t>
  </si>
  <si>
    <t>Tasa de Interes</t>
  </si>
  <si>
    <t>Deuda</t>
  </si>
  <si>
    <t>Estado de Resultados Proforma</t>
  </si>
  <si>
    <t>Del 28 de Octubre al 31 de Diciembre del 2019</t>
  </si>
  <si>
    <t>Del 31 de Diciembre del 2019 al 31 de Diciembre del 2020 </t>
  </si>
  <si>
    <t>Del 31 de Diciembre del 2020 al 31 de Diciembre del 2021</t>
  </si>
  <si>
    <t>Del 31 de Diciembre del 2021 al 31 de Diciembre del 2022</t>
  </si>
  <si>
    <t>Del 31 de Diciembre del 2022 al 31 de Diciembre del 2023</t>
  </si>
  <si>
    <t>Del 31 de Diciembre del 2023 al 31 de Diciembre del 2024</t>
  </si>
  <si>
    <t>Del 31 de Diciembre del 2024 al 31 de Diciembre del 2025</t>
  </si>
  <si>
    <t>Conceptos</t>
  </si>
  <si>
    <t>Bs</t>
  </si>
  <si>
    <t>Ingresos por ventas</t>
  </si>
  <si>
    <t>(-) Costos de servicios</t>
  </si>
  <si>
    <t>Utilidad Bruta</t>
  </si>
  <si>
    <t>(-) Gastos de generales</t>
  </si>
  <si>
    <t>Gastos de venta</t>
  </si>
  <si>
    <t>Gastos de Administración</t>
  </si>
  <si>
    <t>Gastos de Producción</t>
  </si>
  <si>
    <t>Utilidad operativa</t>
  </si>
  <si>
    <t>(-) Resultado Integral de Financiamiento</t>
  </si>
  <si>
    <t>Intereses Devengados</t>
  </si>
  <si>
    <t>Utilida antes del impuesto</t>
  </si>
  <si>
    <t>(-) Impuestos (ISR)</t>
  </si>
  <si>
    <t>Utilidad neta</t>
  </si>
  <si>
    <t>+</t>
  </si>
  <si>
    <t>Saldo Inicial</t>
  </si>
  <si>
    <t>Prestamos</t>
  </si>
  <si>
    <t>OTROS SOCIOS</t>
  </si>
  <si>
    <t>-</t>
  </si>
  <si>
    <t>Egresos</t>
  </si>
  <si>
    <t>BG</t>
  </si>
  <si>
    <t>Gastos de Instalacion</t>
  </si>
  <si>
    <t>Equipo de produccion</t>
  </si>
  <si>
    <t>GA</t>
  </si>
  <si>
    <t>Sueldos</t>
  </si>
  <si>
    <t>pagos a capital</t>
  </si>
  <si>
    <t>ER</t>
  </si>
  <si>
    <t xml:space="preserve">pagos de intereses </t>
  </si>
  <si>
    <t>telefono</t>
  </si>
  <si>
    <t>papeleria</t>
  </si>
  <si>
    <t>Material de limpieza</t>
  </si>
  <si>
    <t>Gastos de Organizacion</t>
  </si>
  <si>
    <t>GV</t>
  </si>
  <si>
    <t>Renta</t>
  </si>
  <si>
    <t>Deposito de renta</t>
  </si>
  <si>
    <t>Tarifa Google Play</t>
  </si>
  <si>
    <t>Saldo Final</t>
  </si>
  <si>
    <t>Estado de Situación Financiera Proforma</t>
  </si>
  <si>
    <t>al 31 de Diciembre del 2019</t>
  </si>
  <si>
    <t>al 31 de Diciembre del 2020</t>
  </si>
  <si>
    <t>al 31 de Diciembre del 2021</t>
  </si>
  <si>
    <t>al 31 de Diciembre del 2022</t>
  </si>
  <si>
    <t>al 31 de Diciembre del 2023</t>
  </si>
  <si>
    <t>al 31 de Diciembre del 2024</t>
  </si>
  <si>
    <t>Activo Circulante</t>
  </si>
  <si>
    <t>No Cirulante</t>
  </si>
  <si>
    <t>Suma el activo</t>
  </si>
  <si>
    <t>Pasivo</t>
  </si>
  <si>
    <t>A corto plazo</t>
  </si>
  <si>
    <t>A largo plazo</t>
  </si>
  <si>
    <t>Capital contable</t>
  </si>
  <si>
    <t>Utilidad de Ejercicios Anteriores</t>
  </si>
  <si>
    <t>Utilidad del Ejercicio Actual</t>
  </si>
  <si>
    <t>Suma Pasivo mas Capital Contable</t>
  </si>
  <si>
    <t>Diferencia</t>
  </si>
  <si>
    <t>Costo Premium</t>
  </si>
  <si>
    <t>PROMEDIO GENERAL DE INFLACIÓN PARA LOS PRÓXIMOS 5 AÑOS =</t>
  </si>
  <si>
    <t>ESTIMACIÓN DEL COSTO VARIBALE UNITARIO</t>
  </si>
  <si>
    <t>CONCEPTO</t>
  </si>
  <si>
    <t>AREA/DEPTO.</t>
  </si>
  <si>
    <t>ÁREA/DEPTO.</t>
  </si>
  <si>
    <t>PRODUCCIÓN</t>
  </si>
  <si>
    <t>EZRecistence Premium</t>
  </si>
  <si>
    <t>COSTO  Y GASTO VARIABLE POR ÁREA</t>
  </si>
  <si>
    <t>COSTO y GASTO VARIABLE UNITARIO (C.V.U)</t>
  </si>
  <si>
    <t>UNIDADES A PRODUCIR POR AÑO</t>
  </si>
  <si>
    <t>COSTO VARIABLE TOTAL (C.V.T)</t>
  </si>
  <si>
    <t>ESTIMACIÓN DE GASTOS VARIABLES Y COSTOS FIJOS POR ÁREA</t>
  </si>
  <si>
    <t>COSTO DE PRODUCCIÓN</t>
  </si>
  <si>
    <t>GASTOS DE VENTA</t>
  </si>
  <si>
    <t>GASTOS DE ADMÓN</t>
  </si>
  <si>
    <t>TOTAL ANUAL</t>
  </si>
  <si>
    <t>TOTAL MENSUAL TODOS LAS ÁREAS</t>
  </si>
  <si>
    <t>TOTAL ANUAL TODAS LAS ÁREAS</t>
  </si>
  <si>
    <t>MENSUAL</t>
  </si>
  <si>
    <t>ANUAL</t>
  </si>
  <si>
    <t>Costos y gastos variables totales</t>
  </si>
  <si>
    <t>Costos y gastos fijos</t>
  </si>
  <si>
    <t>Sueldos/remuneraciones</t>
  </si>
  <si>
    <t>Luz, agua y predial</t>
  </si>
  <si>
    <t>Servicio telefónico</t>
  </si>
  <si>
    <t>Material de aseo y limpieza</t>
  </si>
  <si>
    <t>Depreciación del activo fijo</t>
  </si>
  <si>
    <t>COSTO TOTAL POR ÁREA (CVT + CF)</t>
  </si>
  <si>
    <t>ESTIMACIÓN DEL PRECIO DE VENTA POR UNIDAD AÑO 2020</t>
  </si>
  <si>
    <t>ESTIMACIÓN DEL PRECIO DE VENTA POR UNIDAD AÑO 2021</t>
  </si>
  <si>
    <t>ESTIMACIÓN DEL PRECIO DE VENTA POR UNIDAD AÑO 2022</t>
  </si>
  <si>
    <t>ESTIMACIÓN DEL PRECIO DE VENTA POR UNIDAD AÑO 2023</t>
  </si>
  <si>
    <t>ESTIMACIÓN DEL PRECIO DE VENTA POR UNIDAD AÑO 2024</t>
  </si>
  <si>
    <t>ESTIMACIÓN DEL PRECIO DE VENTA POR UNIDAD AÑO 2025</t>
  </si>
  <si>
    <t xml:space="preserve">COSTO TOTAL </t>
  </si>
  <si>
    <t>COSTO TOTAL</t>
  </si>
  <si>
    <t>COSTO TOTAL POR APP</t>
  </si>
  <si>
    <t>UTILIDAD SOBRE EL COSTO TOTAL</t>
  </si>
  <si>
    <t>PRECIO DE VENTA UNITARIO por costeo</t>
  </si>
  <si>
    <t xml:space="preserve">                 PRECIO DE VENTA UNITARIO POR COSTEO</t>
  </si>
  <si>
    <t>PRECIO DE VENTA EN EL MERCADO</t>
  </si>
  <si>
    <t xml:space="preserve">                               PRECIO DE VENTA EN EL MERCADO</t>
  </si>
  <si>
    <t>PRESUPUESTO DE GASTOS FINANCIEROS</t>
  </si>
  <si>
    <t>Pago de intereses</t>
  </si>
  <si>
    <t>XXX</t>
  </si>
  <si>
    <t>FNE</t>
  </si>
  <si>
    <t>TIR</t>
  </si>
  <si>
    <t>TMAR</t>
  </si>
  <si>
    <t>%</t>
  </si>
  <si>
    <t>Inflaccion</t>
  </si>
  <si>
    <t>Riesgo</t>
  </si>
  <si>
    <t>Ponderado</t>
  </si>
  <si>
    <t>Capital social</t>
  </si>
  <si>
    <t>VPN</t>
  </si>
  <si>
    <t>PRI</t>
  </si>
  <si>
    <t>Suma FNE</t>
  </si>
  <si>
    <t>=</t>
  </si>
  <si>
    <t>años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</si>
</sst>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&quot;$&quot;#,##0"/>
    <numFmt numFmtId="168" formatCode="_-[$$-80A]* #,##0.00_-;\-[$$-80A]* #,##0.00_-;_-[$$-80A]* &quot;-&quot;??_-;_-@_-"/>
    <numFmt numFmtId="169" formatCode="_-&quot;$&quot;* #,##0.0000000_-;\-&quot;$&quot;* #,##0.0000000_-;_-&quot;$&quot;* &quot;-&quot;??_-;_-@_-"/>
    <numFmt numFmtId="170" formatCode="0.0"/>
    <numFmt numFmtId="171" formatCode="&quot;$&quot;#,##0.00"/>
    <numFmt numFmtId="172" formatCode="_-[$$-80A]* #,##0.000000_-;\-[$$-80A]* #,##0.000000_-;_-[$$-80A]* &quot;-&quot;??_-;_-@_-"/>
    <numFmt numFmtId="173" formatCode="_-[$$-80A]* #,##0.000000000000000_-;\-[$$-80A]* #,##0.000000000000000_-;_-[$$-80A]* &quot;-&quot;??_-;_-@_-"/>
  </numFmts>
  <fonts count="47" x14ac:knownFonts="1">
    <font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u/>
      <sz val="12"/>
      <color theme="1"/>
      <name val="Arial"/>
      <family val="2"/>
    </font>
    <font>
      <b/>
      <sz val="10"/>
      <name val="Lucida Console"/>
      <family val="3"/>
    </font>
    <font>
      <sz val="12"/>
      <name val="Calibri"/>
      <family val="2"/>
      <scheme val="minor"/>
    </font>
    <font>
      <sz val="12"/>
      <name val="Arial"/>
      <family val="2"/>
    </font>
    <font>
      <b/>
      <sz val="14"/>
      <name val="Calibri"/>
      <family val="2"/>
      <scheme val="minor"/>
    </font>
    <font>
      <b/>
      <i/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1"/>
      <color theme="1"/>
      <name val="Calibri"/>
      <charset val="1"/>
    </font>
    <font>
      <b/>
      <sz val="16"/>
      <color theme="1"/>
      <name val="Calibri"/>
      <scheme val="minor"/>
    </font>
    <font>
      <b/>
      <sz val="12"/>
      <color theme="1"/>
      <name val="Arial"/>
      <family val="2"/>
    </font>
    <font>
      <sz val="12"/>
      <color theme="1"/>
      <name val="Arial"/>
    </font>
    <font>
      <b/>
      <sz val="12"/>
      <color theme="1"/>
      <name val="Arial"/>
    </font>
    <font>
      <b/>
      <sz val="14"/>
      <color theme="1"/>
      <name val="Calibri"/>
      <scheme val="minor"/>
    </font>
    <font>
      <b/>
      <sz val="11"/>
      <color theme="1"/>
      <name val="Calibri"/>
      <scheme val="minor"/>
    </font>
    <font>
      <b/>
      <sz val="11"/>
      <color rgb="FF0070C0"/>
      <name val="Calibri"/>
      <scheme val="minor"/>
    </font>
    <font>
      <b/>
      <sz val="11"/>
      <color theme="4"/>
      <name val="Calibri"/>
      <scheme val="minor"/>
    </font>
    <font>
      <b/>
      <sz val="14"/>
      <color theme="4"/>
      <name val="Calibri"/>
      <scheme val="minor"/>
    </font>
    <font>
      <sz val="12"/>
      <color rgb="FF000000"/>
      <name val="Arial"/>
    </font>
    <font>
      <sz val="12"/>
      <color rgb="FF000000"/>
      <name val="Arial"/>
      <family val="2"/>
    </font>
    <font>
      <b/>
      <sz val="12"/>
      <color theme="4"/>
      <name val="Arial"/>
    </font>
    <font>
      <b/>
      <sz val="12"/>
      <color rgb="FF4472C4"/>
      <name val="Arial"/>
    </font>
    <font>
      <sz val="12"/>
      <color rgb="FFF2F2F2"/>
      <name val="Arial"/>
      <family val="2"/>
    </font>
    <font>
      <sz val="12"/>
      <color rgb="FF444444"/>
      <name val="Arial"/>
    </font>
    <font>
      <sz val="12"/>
      <color rgb="FF444444"/>
      <name val="Arial"/>
      <family val="2"/>
    </font>
    <font>
      <b/>
      <sz val="12"/>
      <color theme="4"/>
      <name val="Arial"/>
      <family val="2"/>
    </font>
    <font>
      <sz val="16"/>
      <color theme="1"/>
      <name val="Arial"/>
      <family val="2"/>
    </font>
    <font>
      <sz val="12"/>
      <color theme="1"/>
      <name val="Trebuchet MS"/>
    </font>
    <font>
      <sz val="12"/>
      <color rgb="FF000000"/>
      <name val="Trebuchet MS"/>
    </font>
    <font>
      <sz val="12"/>
      <color theme="1"/>
      <name val="Consolas"/>
    </font>
    <font>
      <sz val="11"/>
      <color rgb="FF444444"/>
      <name val="Calibri"/>
      <family val="2"/>
      <charset val="1"/>
    </font>
    <font>
      <sz val="12"/>
      <color rgb="FFF2F2F2"/>
      <name val="Trebuchet MS"/>
    </font>
    <font>
      <b/>
      <sz val="12"/>
      <color rgb="FF4472C4"/>
      <name val="Trebuchet MS"/>
    </font>
    <font>
      <sz val="9"/>
      <color theme="1"/>
      <name val="Arial"/>
      <family val="2"/>
    </font>
    <font>
      <sz val="12"/>
      <color rgb="FFFFFFFF"/>
      <name val="Arial"/>
      <family val="2"/>
    </font>
    <font>
      <sz val="11"/>
      <color rgb="FF444444"/>
      <name val="Calibri"/>
      <charset val="1"/>
    </font>
    <font>
      <sz val="11"/>
      <color theme="1"/>
      <name val="Calibri"/>
    </font>
    <font>
      <sz val="10"/>
      <color theme="1"/>
      <name val="Arial"/>
      <family val="2"/>
    </font>
    <font>
      <b/>
      <sz val="20"/>
      <color theme="3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gradientFill type="path" top="1" bottom="1">
        <stop position="0">
          <color theme="0"/>
        </stop>
        <stop position="1">
          <color theme="4"/>
        </stop>
      </gradientFill>
    </fill>
    <fill>
      <patternFill patternType="solid">
        <fgColor indexed="65"/>
        <bgColor theme="0"/>
      </patternFill>
    </fill>
    <fill>
      <gradientFill degree="90">
        <stop position="0">
          <color theme="3"/>
        </stop>
        <stop position="0.5">
          <color theme="4"/>
        </stop>
        <stop position="1">
          <color theme="3"/>
        </stop>
      </gradientFill>
    </fill>
    <fill>
      <patternFill patternType="solid">
        <fgColor theme="4" tint="0.59999389629810485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/>
        <bgColor theme="0"/>
      </patternFill>
    </fill>
    <fill>
      <patternFill patternType="solid">
        <fgColor indexed="44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C6591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7B7B7B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theme="0"/>
      </patternFill>
    </fill>
    <fill>
      <patternFill patternType="solid">
        <fgColor theme="9" tint="0.79998168889431442"/>
        <bgColor auto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theme="1"/>
      </left>
      <right style="thin">
        <color indexed="64"/>
      </right>
      <top style="thick">
        <color theme="1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 style="thick">
        <color theme="1"/>
      </top>
      <bottom style="thick">
        <color theme="1"/>
      </bottom>
      <diagonal/>
    </border>
    <border>
      <left style="thin">
        <color indexed="64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n">
        <color indexed="64"/>
      </left>
      <right/>
      <top style="thick">
        <color theme="1"/>
      </top>
      <bottom style="thick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n">
        <color indexed="64"/>
      </bottom>
      <diagonal/>
    </border>
    <border>
      <left style="thick">
        <color theme="1"/>
      </left>
      <right/>
      <top style="thick">
        <color theme="1"/>
      </top>
      <bottom style="thin">
        <color indexed="64"/>
      </bottom>
      <diagonal/>
    </border>
    <border>
      <left/>
      <right style="thin">
        <color indexed="64"/>
      </right>
      <top style="thick">
        <color theme="1"/>
      </top>
      <bottom style="thin">
        <color indexed="64"/>
      </bottom>
      <diagonal/>
    </border>
    <border>
      <left style="thin">
        <color indexed="64"/>
      </left>
      <right/>
      <top style="thick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theme="1"/>
      </top>
      <bottom style="thin">
        <color indexed="64"/>
      </bottom>
      <diagonal/>
    </border>
    <border>
      <left style="thin">
        <color indexed="64"/>
      </left>
      <right style="thick">
        <color theme="1"/>
      </right>
      <top style="thick">
        <color theme="1"/>
      </top>
      <bottom style="thin">
        <color indexed="64"/>
      </bottom>
      <diagonal/>
    </border>
    <border>
      <left style="thick">
        <color theme="1"/>
      </left>
      <right style="thin">
        <color indexed="64"/>
      </right>
      <top style="thin">
        <color indexed="64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1"/>
      </bottom>
      <diagonal/>
    </border>
    <border>
      <left/>
      <right style="thin">
        <color indexed="64"/>
      </right>
      <top style="thin">
        <color indexed="64"/>
      </top>
      <bottom style="thick">
        <color theme="1"/>
      </bottom>
      <diagonal/>
    </border>
    <border>
      <left style="thin">
        <color indexed="64"/>
      </left>
      <right/>
      <top style="thin">
        <color indexed="64"/>
      </top>
      <bottom style="thick">
        <color theme="1"/>
      </bottom>
      <diagonal/>
    </border>
    <border>
      <left style="thick">
        <color theme="1"/>
      </left>
      <right style="thick">
        <color theme="1"/>
      </right>
      <top style="thin">
        <color indexed="64"/>
      </top>
      <bottom style="thick">
        <color theme="1"/>
      </bottom>
      <diagonal/>
    </border>
    <border>
      <left style="thin">
        <color indexed="64"/>
      </left>
      <right style="thick">
        <color theme="1"/>
      </right>
      <top style="thin">
        <color indexed="64"/>
      </top>
      <bottom style="thick">
        <color theme="1"/>
      </bottom>
      <diagonal/>
    </border>
    <border>
      <left style="thick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1"/>
      </right>
      <top style="thin">
        <color indexed="64"/>
      </top>
      <bottom style="thin">
        <color indexed="64"/>
      </bottom>
      <diagonal/>
    </border>
    <border>
      <left style="thick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theme="1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1"/>
      </left>
      <right/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488">
    <xf numFmtId="0" fontId="0" fillId="0" borderId="0" xfId="0"/>
    <xf numFmtId="0" fontId="0" fillId="3" borderId="0" xfId="0" applyFill="1"/>
    <xf numFmtId="0" fontId="5" fillId="4" borderId="0" xfId="0" applyFont="1" applyFill="1"/>
    <xf numFmtId="0" fontId="11" fillId="7" borderId="4" xfId="0" applyFont="1" applyFill="1" applyBorder="1" applyAlignment="1">
      <alignment horizontal="center" vertical="center"/>
    </xf>
    <xf numFmtId="6" fontId="12" fillId="9" borderId="7" xfId="0" applyNumberFormat="1" applyFont="1" applyFill="1" applyBorder="1" applyAlignment="1">
      <alignment horizontal="center" vertical="center" wrapText="1"/>
    </xf>
    <xf numFmtId="0" fontId="11" fillId="5" borderId="1" xfId="0" applyFont="1" applyFill="1" applyBorder="1"/>
    <xf numFmtId="0" fontId="0" fillId="5" borderId="2" xfId="0" applyFill="1" applyBorder="1"/>
    <xf numFmtId="8" fontId="0" fillId="5" borderId="3" xfId="0" applyNumberFormat="1" applyFill="1" applyBorder="1" applyAlignment="1">
      <alignment horizontal="right"/>
    </xf>
    <xf numFmtId="167" fontId="11" fillId="9" borderId="3" xfId="1" applyNumberFormat="1" applyFont="1" applyFill="1" applyBorder="1" applyAlignment="1">
      <alignment horizontal="center" vertical="center"/>
    </xf>
    <xf numFmtId="0" fontId="11" fillId="10" borderId="0" xfId="0" applyFont="1" applyFill="1" applyAlignment="1">
      <alignment horizontal="right" vertical="center"/>
    </xf>
    <xf numFmtId="0" fontId="11" fillId="9" borderId="0" xfId="0" applyFont="1" applyFill="1" applyAlignment="1">
      <alignment horizontal="center"/>
    </xf>
    <xf numFmtId="8" fontId="12" fillId="5" borderId="0" xfId="0" applyNumberFormat="1" applyFont="1" applyFill="1" applyAlignment="1">
      <alignment horizontal="right"/>
    </xf>
    <xf numFmtId="0" fontId="11" fillId="7" borderId="8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8" fontId="11" fillId="7" borderId="8" xfId="0" applyNumberFormat="1" applyFont="1" applyFill="1" applyBorder="1" applyAlignment="1">
      <alignment horizontal="right" vertical="center"/>
    </xf>
    <xf numFmtId="0" fontId="15" fillId="8" borderId="8" xfId="0" applyFont="1" applyFill="1" applyBorder="1" applyAlignment="1">
      <alignment horizontal="center" wrapText="1"/>
    </xf>
    <xf numFmtId="0" fontId="12" fillId="11" borderId="8" xfId="0" applyFont="1" applyFill="1" applyBorder="1" applyAlignment="1">
      <alignment horizontal="center"/>
    </xf>
    <xf numFmtId="165" fontId="12" fillId="11" borderId="8" xfId="0" applyNumberFormat="1" applyFont="1" applyFill="1" applyBorder="1"/>
    <xf numFmtId="8" fontId="12" fillId="9" borderId="8" xfId="0" applyNumberFormat="1" applyFont="1" applyFill="1" applyBorder="1" applyAlignment="1">
      <alignment horizontal="right" vertical="center" wrapText="1"/>
    </xf>
    <xf numFmtId="0" fontId="11" fillId="8" borderId="7" xfId="0" applyFont="1" applyFill="1" applyBorder="1" applyAlignment="1">
      <alignment wrapText="1"/>
    </xf>
    <xf numFmtId="0" fontId="12" fillId="11" borderId="7" xfId="0" applyFont="1" applyFill="1" applyBorder="1" applyAlignment="1">
      <alignment horizontal="center"/>
    </xf>
    <xf numFmtId="165" fontId="12" fillId="11" borderId="7" xfId="0" applyNumberFormat="1" applyFont="1" applyFill="1" applyBorder="1"/>
    <xf numFmtId="8" fontId="11" fillId="9" borderId="7" xfId="0" applyNumberFormat="1" applyFont="1" applyFill="1" applyBorder="1" applyAlignment="1">
      <alignment horizontal="right" vertical="center" wrapText="1"/>
    </xf>
    <xf numFmtId="0" fontId="12" fillId="8" borderId="7" xfId="0" applyFont="1" applyFill="1" applyBorder="1" applyAlignment="1">
      <alignment wrapText="1"/>
    </xf>
    <xf numFmtId="8" fontId="12" fillId="9" borderId="7" xfId="0" applyNumberFormat="1" applyFont="1" applyFill="1" applyBorder="1" applyAlignment="1">
      <alignment horizontal="right" vertical="center" wrapText="1"/>
    </xf>
    <xf numFmtId="8" fontId="11" fillId="9" borderId="9" xfId="1" applyNumberFormat="1" applyFont="1" applyFill="1" applyBorder="1" applyAlignment="1">
      <alignment horizontal="right" vertical="center"/>
    </xf>
    <xf numFmtId="0" fontId="12" fillId="8" borderId="5" xfId="0" applyFont="1" applyFill="1" applyBorder="1" applyAlignment="1">
      <alignment vertical="center" wrapText="1"/>
    </xf>
    <xf numFmtId="6" fontId="12" fillId="8" borderId="5" xfId="0" applyNumberFormat="1" applyFont="1" applyFill="1" applyBorder="1" applyAlignment="1">
      <alignment horizontal="center" vertical="center" wrapText="1"/>
    </xf>
    <xf numFmtId="0" fontId="12" fillId="8" borderId="5" xfId="0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wrapText="1"/>
    </xf>
    <xf numFmtId="8" fontId="11" fillId="9" borderId="3" xfId="1" applyNumberFormat="1" applyFont="1" applyFill="1" applyBorder="1" applyAlignment="1">
      <alignment horizontal="right" vertical="center"/>
    </xf>
    <xf numFmtId="0" fontId="12" fillId="9" borderId="5" xfId="0" applyFont="1" applyFill="1" applyBorder="1"/>
    <xf numFmtId="0" fontId="12" fillId="9" borderId="9" xfId="0" applyFont="1" applyFill="1" applyBorder="1"/>
    <xf numFmtId="0" fontId="12" fillId="9" borderId="0" xfId="0" applyFont="1" applyFill="1"/>
    <xf numFmtId="0" fontId="12" fillId="9" borderId="10" xfId="0" applyFont="1" applyFill="1" applyBorder="1"/>
    <xf numFmtId="0" fontId="11" fillId="5" borderId="2" xfId="0" applyFont="1" applyFill="1" applyBorder="1"/>
    <xf numFmtId="0" fontId="12" fillId="8" borderId="7" xfId="0" applyFont="1" applyFill="1" applyBorder="1" applyAlignment="1">
      <alignment horizontal="left" vertical="center" wrapText="1"/>
    </xf>
    <xf numFmtId="0" fontId="2" fillId="12" borderId="0" xfId="0" applyFont="1" applyFill="1" applyAlignment="1">
      <alignment horizontal="center"/>
    </xf>
    <xf numFmtId="0" fontId="16" fillId="3" borderId="0" xfId="0" applyFont="1" applyFill="1"/>
    <xf numFmtId="0" fontId="16" fillId="3" borderId="0" xfId="0" applyFont="1" applyFill="1" applyAlignment="1">
      <alignment horizontal="center"/>
    </xf>
    <xf numFmtId="168" fontId="16" fillId="3" borderId="0" xfId="0" applyNumberFormat="1" applyFont="1" applyFill="1"/>
    <xf numFmtId="0" fontId="16" fillId="13" borderId="0" xfId="0" applyFont="1" applyFill="1"/>
    <xf numFmtId="0" fontId="16" fillId="13" borderId="0" xfId="0" applyFont="1" applyFill="1" applyAlignment="1">
      <alignment horizontal="center"/>
    </xf>
    <xf numFmtId="168" fontId="16" fillId="13" borderId="0" xfId="0" applyNumberFormat="1" applyFont="1" applyFill="1"/>
    <xf numFmtId="0" fontId="0" fillId="13" borderId="0" xfId="0" applyFill="1"/>
    <xf numFmtId="168" fontId="0" fillId="3" borderId="0" xfId="0" applyNumberFormat="1" applyFill="1"/>
    <xf numFmtId="0" fontId="2" fillId="12" borderId="0" xfId="0" applyFont="1" applyFill="1" applyAlignment="1">
      <alignment horizontal="center" vertical="center" wrapText="1"/>
    </xf>
    <xf numFmtId="44" fontId="0" fillId="13" borderId="0" xfId="1" applyFont="1" applyFill="1" applyAlignment="1">
      <alignment horizontal="center" vertical="center" wrapText="1"/>
    </xf>
    <xf numFmtId="44" fontId="0" fillId="13" borderId="0" xfId="1" applyFont="1" applyFill="1" applyAlignment="1">
      <alignment vertical="center"/>
    </xf>
    <xf numFmtId="0" fontId="0" fillId="3" borderId="0" xfId="0" applyFill="1" applyAlignment="1">
      <alignment horizontal="center" vertical="center" wrapText="1"/>
    </xf>
    <xf numFmtId="44" fontId="0" fillId="3" borderId="0" xfId="1" applyFont="1" applyFill="1" applyAlignment="1">
      <alignment horizontal="center" vertical="center" wrapText="1"/>
    </xf>
    <xf numFmtId="44" fontId="0" fillId="3" borderId="0" xfId="1" applyFont="1" applyFill="1" applyAlignment="1">
      <alignment vertical="center"/>
    </xf>
    <xf numFmtId="0" fontId="2" fillId="12" borderId="0" xfId="0" applyFont="1" applyFill="1" applyAlignment="1">
      <alignment horizontal="center" vertical="top" wrapText="1"/>
    </xf>
    <xf numFmtId="44" fontId="0" fillId="3" borderId="0" xfId="1" applyFont="1" applyFill="1" applyBorder="1"/>
    <xf numFmtId="0" fontId="0" fillId="13" borderId="0" xfId="0" applyFill="1" applyAlignment="1">
      <alignment horizontal="center" vertical="center"/>
    </xf>
    <xf numFmtId="44" fontId="0" fillId="13" borderId="0" xfId="1" applyFont="1" applyFill="1" applyBorder="1"/>
    <xf numFmtId="9" fontId="0" fillId="3" borderId="0" xfId="3" applyFont="1" applyFill="1"/>
    <xf numFmtId="0" fontId="0" fillId="3" borderId="0" xfId="0" applyFill="1" applyAlignment="1">
      <alignment vertical="center"/>
    </xf>
    <xf numFmtId="44" fontId="12" fillId="8" borderId="5" xfId="0" applyNumberFormat="1" applyFont="1" applyFill="1" applyBorder="1" applyAlignment="1">
      <alignment horizontal="center" vertical="center" wrapText="1"/>
    </xf>
    <xf numFmtId="0" fontId="0" fillId="3" borderId="0" xfId="0" applyNumberFormat="1" applyFill="1" applyAlignment="1">
      <alignment horizontal="center" vertical="center"/>
    </xf>
    <xf numFmtId="0" fontId="0" fillId="14" borderId="0" xfId="0" applyFill="1"/>
    <xf numFmtId="0" fontId="0" fillId="0" borderId="4" xfId="0" applyBorder="1" applyAlignment="1">
      <alignment horizontal="center" vertical="center" wrapText="1"/>
    </xf>
    <xf numFmtId="0" fontId="0" fillId="16" borderId="6" xfId="0" applyFill="1" applyBorder="1"/>
    <xf numFmtId="0" fontId="0" fillId="0" borderId="0" xfId="0"/>
    <xf numFmtId="0" fontId="19" fillId="14" borderId="0" xfId="0" applyFont="1" applyFill="1"/>
    <xf numFmtId="0" fontId="19" fillId="0" borderId="4" xfId="0" applyFont="1" applyBorder="1" applyAlignment="1">
      <alignment horizontal="center" vertical="center" wrapText="1"/>
    </xf>
    <xf numFmtId="0" fontId="0" fillId="15" borderId="13" xfId="0" applyFill="1" applyBorder="1" applyAlignment="1">
      <alignment horizontal="center" vertical="center" wrapText="1"/>
    </xf>
    <xf numFmtId="170" fontId="0" fillId="18" borderId="0" xfId="0" applyNumberFormat="1" applyFill="1"/>
    <xf numFmtId="0" fontId="19" fillId="0" borderId="14" xfId="0" applyFont="1" applyBorder="1"/>
    <xf numFmtId="0" fontId="0" fillId="0" borderId="14" xfId="0" applyBorder="1"/>
    <xf numFmtId="170" fontId="0" fillId="0" borderId="0" xfId="0" applyNumberFormat="1"/>
    <xf numFmtId="0" fontId="19" fillId="19" borderId="14" xfId="0" applyFont="1" applyFill="1" applyBorder="1" applyAlignment="1">
      <alignment horizontal="center"/>
    </xf>
    <xf numFmtId="0" fontId="19" fillId="19" borderId="14" xfId="0" applyFont="1" applyFill="1" applyBorder="1"/>
    <xf numFmtId="170" fontId="0" fillId="16" borderId="6" xfId="0" applyNumberFormat="1" applyFill="1" applyBorder="1"/>
    <xf numFmtId="170" fontId="19" fillId="0" borderId="14" xfId="0" applyNumberFormat="1" applyFont="1" applyBorder="1"/>
    <xf numFmtId="170" fontId="0" fillId="0" borderId="14" xfId="0" applyNumberFormat="1" applyBorder="1"/>
    <xf numFmtId="0" fontId="19" fillId="0" borderId="14" xfId="0" applyFont="1" applyBorder="1" applyAlignment="1">
      <alignment horizontal="center"/>
    </xf>
    <xf numFmtId="0" fontId="0" fillId="0" borderId="4" xfId="0" applyBorder="1" applyAlignment="1">
      <alignment vertical="center"/>
    </xf>
    <xf numFmtId="170" fontId="0" fillId="17" borderId="13" xfId="0" applyNumberFormat="1" applyFill="1" applyBorder="1"/>
    <xf numFmtId="170" fontId="0" fillId="20" borderId="13" xfId="0" applyNumberFormat="1" applyFill="1" applyBorder="1"/>
    <xf numFmtId="2" fontId="0" fillId="0" borderId="14" xfId="0" applyNumberFormat="1" applyBorder="1"/>
    <xf numFmtId="2" fontId="0" fillId="17" borderId="13" xfId="0" applyNumberFormat="1" applyFill="1" applyBorder="1"/>
    <xf numFmtId="170" fontId="0" fillId="17" borderId="0" xfId="0" applyNumberFormat="1" applyFill="1"/>
    <xf numFmtId="170" fontId="0" fillId="20" borderId="0" xfId="0" applyNumberFormat="1" applyFill="1"/>
    <xf numFmtId="2" fontId="0" fillId="21" borderId="0" xfId="0" applyNumberFormat="1" applyFill="1"/>
    <xf numFmtId="170" fontId="0" fillId="21" borderId="0" xfId="0" applyNumberFormat="1" applyFill="1"/>
    <xf numFmtId="8" fontId="12" fillId="9" borderId="7" xfId="0" applyNumberFormat="1" applyFont="1" applyFill="1" applyBorder="1" applyAlignment="1">
      <alignment horizontal="center" vertical="center" wrapText="1"/>
    </xf>
    <xf numFmtId="0" fontId="19" fillId="0" borderId="0" xfId="0" applyFont="1"/>
    <xf numFmtId="0" fontId="22" fillId="0" borderId="22" xfId="0" applyFont="1" applyBorder="1" applyAlignment="1">
      <alignment horizontal="center"/>
    </xf>
    <xf numFmtId="0" fontId="22" fillId="0" borderId="24" xfId="0" applyFont="1" applyBorder="1" applyAlignment="1">
      <alignment horizontal="center"/>
    </xf>
    <xf numFmtId="0" fontId="23" fillId="0" borderId="25" xfId="0" applyFont="1" applyBorder="1"/>
    <xf numFmtId="0" fontId="0" fillId="0" borderId="1" xfId="0" applyBorder="1"/>
    <xf numFmtId="0" fontId="0" fillId="0" borderId="25" xfId="0" applyBorder="1"/>
    <xf numFmtId="0" fontId="22" fillId="0" borderId="25" xfId="0" applyFont="1" applyBorder="1" applyAlignment="1">
      <alignment horizontal="left"/>
    </xf>
    <xf numFmtId="0" fontId="0" fillId="0" borderId="29" xfId="0" applyBorder="1"/>
    <xf numFmtId="0" fontId="22" fillId="0" borderId="43" xfId="0" applyFont="1" applyBorder="1" applyAlignment="1">
      <alignment horizontal="center"/>
    </xf>
    <xf numFmtId="0" fontId="22" fillId="0" borderId="44" xfId="0" applyFont="1" applyBorder="1" applyAlignment="1">
      <alignment horizontal="center"/>
    </xf>
    <xf numFmtId="0" fontId="22" fillId="0" borderId="45" xfId="0" applyFont="1" applyBorder="1" applyAlignment="1">
      <alignment horizontal="center"/>
    </xf>
    <xf numFmtId="0" fontId="24" fillId="25" borderId="11" xfId="0" applyFont="1" applyFill="1" applyBorder="1"/>
    <xf numFmtId="0" fontId="22" fillId="0" borderId="27" xfId="0" applyFont="1" applyBorder="1"/>
    <xf numFmtId="0" fontId="24" fillId="26" borderId="1" xfId="0" applyFont="1" applyFill="1" applyBorder="1"/>
    <xf numFmtId="0" fontId="25" fillId="27" borderId="1" xfId="0" applyFont="1" applyFill="1" applyBorder="1"/>
    <xf numFmtId="43" fontId="21" fillId="27" borderId="32" xfId="0" applyNumberFormat="1" applyFont="1" applyFill="1" applyBorder="1" applyAlignment="1">
      <alignment horizontal="right"/>
    </xf>
    <xf numFmtId="43" fontId="21" fillId="27" borderId="33" xfId="0" applyNumberFormat="1" applyFont="1" applyFill="1" applyBorder="1" applyAlignment="1">
      <alignment horizontal="right"/>
    </xf>
    <xf numFmtId="43" fontId="21" fillId="27" borderId="33" xfId="0" applyNumberFormat="1" applyFont="1" applyFill="1" applyBorder="1" applyAlignment="1">
      <alignment horizontal="center"/>
    </xf>
    <xf numFmtId="43" fontId="21" fillId="27" borderId="34" xfId="0" applyNumberFormat="1" applyFont="1" applyFill="1" applyBorder="1" applyAlignment="1">
      <alignment horizontal="center"/>
    </xf>
    <xf numFmtId="43" fontId="21" fillId="27" borderId="34" xfId="0" applyNumberFormat="1" applyFont="1" applyFill="1" applyBorder="1" applyAlignment="1">
      <alignment horizontal="right"/>
    </xf>
    <xf numFmtId="0" fontId="0" fillId="0" borderId="11" xfId="0" applyBorder="1"/>
    <xf numFmtId="0" fontId="0" fillId="0" borderId="5" xfId="0" applyBorder="1"/>
    <xf numFmtId="0" fontId="0" fillId="0" borderId="6" xfId="0" applyBorder="1" applyAlignment="1">
      <alignment horizontal="right"/>
    </xf>
    <xf numFmtId="0" fontId="0" fillId="28" borderId="5" xfId="0" applyFill="1" applyBorder="1"/>
    <xf numFmtId="0" fontId="0" fillId="28" borderId="23" xfId="0" applyFill="1" applyBorder="1"/>
    <xf numFmtId="0" fontId="0" fillId="28" borderId="10" xfId="0" applyFill="1" applyBorder="1"/>
    <xf numFmtId="0" fontId="0" fillId="28" borderId="36" xfId="0" applyFill="1" applyBorder="1" applyAlignment="1">
      <alignment horizontal="right"/>
    </xf>
    <xf numFmtId="0" fontId="0" fillId="0" borderId="4" xfId="0" applyBorder="1"/>
    <xf numFmtId="2" fontId="26" fillId="0" borderId="26" xfId="4" applyNumberFormat="1" applyFont="1" applyBorder="1" applyAlignment="1">
      <alignment horizontal="right"/>
    </xf>
    <xf numFmtId="2" fontId="27" fillId="0" borderId="3" xfId="4" applyNumberFormat="1" applyFont="1" applyBorder="1" applyAlignment="1">
      <alignment horizontal="right"/>
    </xf>
    <xf numFmtId="2" fontId="27" fillId="0" borderId="1" xfId="0" applyNumberFormat="1" applyFont="1" applyBorder="1"/>
    <xf numFmtId="2" fontId="27" fillId="0" borderId="0" xfId="0" applyNumberFormat="1" applyFont="1"/>
    <xf numFmtId="0" fontId="18" fillId="0" borderId="0" xfId="0" applyFont="1"/>
    <xf numFmtId="0" fontId="0" fillId="31" borderId="0" xfId="0" applyFill="1"/>
    <xf numFmtId="44" fontId="18" fillId="0" borderId="0" xfId="0" applyNumberFormat="1" applyFont="1"/>
    <xf numFmtId="0" fontId="21" fillId="0" borderId="57" xfId="0" applyFont="1" applyBorder="1"/>
    <xf numFmtId="0" fontId="0" fillId="0" borderId="58" xfId="0" applyBorder="1"/>
    <xf numFmtId="0" fontId="21" fillId="0" borderId="59" xfId="0" applyFont="1" applyBorder="1"/>
    <xf numFmtId="0" fontId="0" fillId="0" borderId="60" xfId="0" applyBorder="1"/>
    <xf numFmtId="0" fontId="0" fillId="0" borderId="17" xfId="0" applyBorder="1"/>
    <xf numFmtId="0" fontId="0" fillId="0" borderId="18" xfId="0" applyBorder="1"/>
    <xf numFmtId="0" fontId="0" fillId="0" borderId="61" xfId="0" applyBorder="1"/>
    <xf numFmtId="0" fontId="0" fillId="0" borderId="62" xfId="0" applyBorder="1"/>
    <xf numFmtId="0" fontId="22" fillId="0" borderId="23" xfId="0" applyFont="1" applyBorder="1" applyAlignment="1">
      <alignment horizontal="center"/>
    </xf>
    <xf numFmtId="2" fontId="27" fillId="0" borderId="26" xfId="4" applyNumberFormat="1" applyFont="1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9" xfId="0" applyBorder="1"/>
    <xf numFmtId="0" fontId="0" fillId="0" borderId="70" xfId="0" applyBorder="1"/>
    <xf numFmtId="0" fontId="0" fillId="0" borderId="71" xfId="0" applyBorder="1"/>
    <xf numFmtId="43" fontId="19" fillId="0" borderId="55" xfId="4" applyNumberFormat="1" applyFont="1" applyBorder="1" applyAlignment="1">
      <alignment horizontal="right"/>
    </xf>
    <xf numFmtId="43" fontId="28" fillId="25" borderId="53" xfId="4" applyNumberFormat="1" applyFont="1" applyFill="1" applyBorder="1" applyAlignment="1">
      <alignment horizontal="right"/>
    </xf>
    <xf numFmtId="43" fontId="20" fillId="0" borderId="55" xfId="0" applyNumberFormat="1" applyFont="1" applyBorder="1" applyAlignment="1">
      <alignment horizontal="center"/>
    </xf>
    <xf numFmtId="43" fontId="28" fillId="25" borderId="8" xfId="4" applyNumberFormat="1" applyFont="1" applyFill="1" applyBorder="1" applyAlignment="1">
      <alignment horizontal="right"/>
    </xf>
    <xf numFmtId="43" fontId="28" fillId="25" borderId="52" xfId="4" applyNumberFormat="1" applyFont="1" applyFill="1" applyBorder="1" applyAlignment="1">
      <alignment horizontal="right"/>
    </xf>
    <xf numFmtId="0" fontId="29" fillId="29" borderId="55" xfId="0" applyFont="1" applyFill="1" applyBorder="1"/>
    <xf numFmtId="43" fontId="28" fillId="25" borderId="51" xfId="4" applyNumberFormat="1" applyFont="1" applyFill="1" applyBorder="1" applyAlignment="1">
      <alignment horizontal="right"/>
    </xf>
    <xf numFmtId="43" fontId="28" fillId="25" borderId="11" xfId="4" applyNumberFormat="1" applyFont="1" applyFill="1" applyBorder="1" applyAlignment="1">
      <alignment horizontal="right"/>
    </xf>
    <xf numFmtId="43" fontId="28" fillId="25" borderId="64" xfId="4" applyNumberFormat="1" applyFont="1" applyFill="1" applyBorder="1" applyAlignment="1">
      <alignment horizontal="right"/>
    </xf>
    <xf numFmtId="43" fontId="28" fillId="25" borderId="54" xfId="4" applyNumberFormat="1" applyFont="1" applyFill="1" applyBorder="1" applyAlignment="1">
      <alignment horizontal="right"/>
    </xf>
    <xf numFmtId="43" fontId="20" fillId="0" borderId="65" xfId="4" applyNumberFormat="1" applyFont="1" applyBorder="1" applyAlignment="1">
      <alignment horizontal="right"/>
    </xf>
    <xf numFmtId="43" fontId="20" fillId="0" borderId="55" xfId="4" applyNumberFormat="1" applyFont="1" applyBorder="1" applyAlignment="1">
      <alignment horizontal="right"/>
    </xf>
    <xf numFmtId="43" fontId="19" fillId="0" borderId="56" xfId="4" applyNumberFormat="1" applyFont="1" applyBorder="1" applyAlignment="1">
      <alignment horizontal="right"/>
    </xf>
    <xf numFmtId="43" fontId="19" fillId="0" borderId="49" xfId="4" applyNumberFormat="1" applyFont="1" applyBorder="1" applyAlignment="1">
      <alignment horizontal="right"/>
    </xf>
    <xf numFmtId="43" fontId="19" fillId="0" borderId="4" xfId="4" applyNumberFormat="1" applyFont="1" applyBorder="1" applyAlignment="1">
      <alignment horizontal="right"/>
    </xf>
    <xf numFmtId="43" fontId="19" fillId="0" borderId="4" xfId="0" applyNumberFormat="1" applyFont="1" applyBorder="1" applyAlignment="1">
      <alignment horizontal="center"/>
    </xf>
    <xf numFmtId="43" fontId="19" fillId="0" borderId="50" xfId="0" applyNumberFormat="1" applyFont="1" applyBorder="1" applyAlignment="1">
      <alignment horizontal="center"/>
    </xf>
    <xf numFmtId="43" fontId="19" fillId="0" borderId="1" xfId="4" applyNumberFormat="1" applyFont="1" applyBorder="1" applyAlignment="1">
      <alignment horizontal="right"/>
    </xf>
    <xf numFmtId="6" fontId="19" fillId="0" borderId="4" xfId="4" applyNumberFormat="1" applyFont="1" applyBorder="1" applyAlignment="1">
      <alignment horizontal="right"/>
    </xf>
    <xf numFmtId="8" fontId="19" fillId="0" borderId="4" xfId="4" applyNumberFormat="1" applyFont="1" applyBorder="1" applyAlignment="1">
      <alignment horizontal="right"/>
    </xf>
    <xf numFmtId="43" fontId="19" fillId="0" borderId="51" xfId="4" applyNumberFormat="1" applyFont="1" applyBorder="1" applyAlignment="1">
      <alignment horizontal="right"/>
    </xf>
    <xf numFmtId="43" fontId="19" fillId="0" borderId="8" xfId="4" applyNumberFormat="1" applyFont="1" applyBorder="1" applyAlignment="1">
      <alignment horizontal="right"/>
    </xf>
    <xf numFmtId="43" fontId="19" fillId="0" borderId="52" xfId="4" applyNumberFormat="1" applyFont="1" applyBorder="1" applyAlignment="1">
      <alignment horizontal="right"/>
    </xf>
    <xf numFmtId="43" fontId="0" fillId="28" borderId="0" xfId="0" applyNumberFormat="1" applyFill="1"/>
    <xf numFmtId="2" fontId="0" fillId="28" borderId="10" xfId="0" applyNumberFormat="1" applyFill="1" applyBorder="1"/>
    <xf numFmtId="2" fontId="0" fillId="28" borderId="36" xfId="0" applyNumberFormat="1" applyFill="1" applyBorder="1" applyAlignment="1">
      <alignment horizontal="right"/>
    </xf>
    <xf numFmtId="43" fontId="0" fillId="0" borderId="4" xfId="4" applyNumberFormat="1" applyFont="1" applyBorder="1" applyAlignment="1">
      <alignment horizontal="right"/>
    </xf>
    <xf numFmtId="43" fontId="0" fillId="0" borderId="4" xfId="0" applyNumberFormat="1" applyBorder="1" applyAlignment="1">
      <alignment horizontal="center"/>
    </xf>
    <xf numFmtId="43" fontId="0" fillId="0" borderId="50" xfId="0" applyNumberFormat="1" applyBorder="1" applyAlignment="1">
      <alignment horizontal="center"/>
    </xf>
    <xf numFmtId="43" fontId="0" fillId="0" borderId="49" xfId="4" applyNumberFormat="1" applyFont="1" applyBorder="1" applyAlignment="1">
      <alignment horizontal="right"/>
    </xf>
    <xf numFmtId="43" fontId="0" fillId="0" borderId="1" xfId="4" applyNumberFormat="1" applyFont="1" applyBorder="1" applyAlignment="1">
      <alignment horizontal="right"/>
    </xf>
    <xf numFmtId="43" fontId="33" fillId="25" borderId="51" xfId="4" applyNumberFormat="1" applyFont="1" applyFill="1" applyBorder="1" applyAlignment="1">
      <alignment horizontal="right"/>
    </xf>
    <xf numFmtId="43" fontId="0" fillId="0" borderId="8" xfId="4" applyNumberFormat="1" applyFont="1" applyBorder="1" applyAlignment="1">
      <alignment horizontal="right"/>
    </xf>
    <xf numFmtId="43" fontId="0" fillId="0" borderId="51" xfId="4" applyNumberFormat="1" applyFont="1" applyBorder="1" applyAlignment="1">
      <alignment horizontal="right"/>
    </xf>
    <xf numFmtId="43" fontId="33" fillId="25" borderId="11" xfId="4" applyNumberFormat="1" applyFont="1" applyFill="1" applyBorder="1" applyAlignment="1">
      <alignment horizontal="right"/>
    </xf>
    <xf numFmtId="43" fontId="33" fillId="25" borderId="8" xfId="4" applyNumberFormat="1" applyFont="1" applyFill="1" applyBorder="1" applyAlignment="1">
      <alignment horizontal="right"/>
    </xf>
    <xf numFmtId="0" fontId="35" fillId="35" borderId="13" xfId="0" applyFont="1" applyFill="1" applyBorder="1" applyAlignment="1">
      <alignment horizontal="left" indent="2"/>
    </xf>
    <xf numFmtId="3" fontId="0" fillId="0" borderId="74" xfId="0" applyNumberFormat="1" applyBorder="1"/>
    <xf numFmtId="43" fontId="0" fillId="0" borderId="74" xfId="0" applyNumberFormat="1" applyBorder="1"/>
    <xf numFmtId="0" fontId="0" fillId="39" borderId="54" xfId="0" applyFill="1" applyBorder="1" applyAlignment="1"/>
    <xf numFmtId="3" fontId="0" fillId="0" borderId="74" xfId="0" applyNumberFormat="1" applyBorder="1" applyAlignment="1"/>
    <xf numFmtId="0" fontId="0" fillId="35" borderId="13" xfId="0" applyFont="1" applyFill="1" applyBorder="1" applyAlignment="1">
      <alignment horizontal="center" vertical="center" wrapText="1"/>
    </xf>
    <xf numFmtId="0" fontId="0" fillId="40" borderId="13" xfId="0" applyFont="1" applyFill="1" applyBorder="1" applyAlignment="1">
      <alignment horizontal="center" vertical="center" wrapText="1"/>
    </xf>
    <xf numFmtId="0" fontId="0" fillId="36" borderId="13" xfId="0" applyFont="1" applyFill="1" applyBorder="1" applyAlignment="1">
      <alignment horizontal="center" vertical="center" wrapText="1"/>
    </xf>
    <xf numFmtId="0" fontId="0" fillId="35" borderId="13" xfId="0" applyFill="1" applyBorder="1"/>
    <xf numFmtId="2" fontId="0" fillId="35" borderId="13" xfId="0" applyNumberFormat="1" applyFill="1" applyBorder="1"/>
    <xf numFmtId="44" fontId="0" fillId="35" borderId="13" xfId="1" applyFont="1" applyFill="1" applyBorder="1"/>
    <xf numFmtId="2" fontId="0" fillId="40" borderId="13" xfId="0" applyNumberFormat="1" applyFill="1" applyBorder="1"/>
    <xf numFmtId="44" fontId="0" fillId="40" borderId="13" xfId="1" applyFont="1" applyFill="1" applyBorder="1"/>
    <xf numFmtId="2" fontId="0" fillId="36" borderId="13" xfId="0" applyNumberFormat="1" applyFill="1" applyBorder="1"/>
    <xf numFmtId="44" fontId="0" fillId="36" borderId="13" xfId="1" applyFont="1" applyFill="1" applyBorder="1"/>
    <xf numFmtId="44" fontId="0" fillId="40" borderId="13" xfId="0" applyNumberFormat="1" applyFill="1" applyBorder="1"/>
    <xf numFmtId="44" fontId="0" fillId="36" borderId="13" xfId="0" applyNumberFormat="1" applyFill="1" applyBorder="1"/>
    <xf numFmtId="0" fontId="0" fillId="40" borderId="13" xfId="0" applyFill="1" applyBorder="1"/>
    <xf numFmtId="0" fontId="0" fillId="36" borderId="13" xfId="0" applyFill="1" applyBorder="1"/>
    <xf numFmtId="0" fontId="0" fillId="35" borderId="13" xfId="0" applyFill="1" applyBorder="1" applyAlignment="1">
      <alignment horizontal="center" vertical="center"/>
    </xf>
    <xf numFmtId="44" fontId="0" fillId="35" borderId="13" xfId="0" applyNumberFormat="1" applyFill="1" applyBorder="1" applyAlignment="1">
      <alignment horizontal="center" vertical="center"/>
    </xf>
    <xf numFmtId="0" fontId="0" fillId="40" borderId="13" xfId="0" applyFill="1" applyBorder="1" applyAlignment="1">
      <alignment horizontal="center" vertical="center"/>
    </xf>
    <xf numFmtId="44" fontId="0" fillId="40" borderId="13" xfId="0" applyNumberFormat="1" applyFill="1" applyBorder="1" applyAlignment="1">
      <alignment horizontal="center" vertical="center"/>
    </xf>
    <xf numFmtId="0" fontId="0" fillId="36" borderId="13" xfId="0" applyFill="1" applyBorder="1" applyAlignment="1">
      <alignment horizontal="center" vertical="center"/>
    </xf>
    <xf numFmtId="44" fontId="0" fillId="36" borderId="13" xfId="0" applyNumberFormat="1" applyFill="1" applyBorder="1" applyAlignment="1">
      <alignment horizontal="center" vertical="center"/>
    </xf>
    <xf numFmtId="44" fontId="0" fillId="35" borderId="13" xfId="0" applyNumberFormat="1" applyFill="1" applyBorder="1"/>
    <xf numFmtId="44" fontId="0" fillId="41" borderId="76" xfId="0" applyNumberFormat="1" applyFill="1" applyBorder="1" applyAlignment="1"/>
    <xf numFmtId="44" fontId="0" fillId="35" borderId="74" xfId="0" applyNumberFormat="1" applyFill="1" applyBorder="1" applyAlignment="1"/>
    <xf numFmtId="43" fontId="0" fillId="36" borderId="74" xfId="0" applyNumberFormat="1" applyFill="1" applyBorder="1" applyAlignment="1"/>
    <xf numFmtId="44" fontId="0" fillId="36" borderId="74" xfId="0" applyNumberFormat="1" applyFill="1" applyBorder="1" applyAlignment="1"/>
    <xf numFmtId="44" fontId="0" fillId="35" borderId="68" xfId="0" applyNumberFormat="1" applyFill="1" applyBorder="1" applyAlignment="1"/>
    <xf numFmtId="3" fontId="0" fillId="36" borderId="74" xfId="0" applyNumberFormat="1" applyFill="1" applyBorder="1"/>
    <xf numFmtId="3" fontId="0" fillId="36" borderId="74" xfId="0" applyNumberFormat="1" applyFill="1" applyBorder="1" applyAlignment="1"/>
    <xf numFmtId="0" fontId="36" fillId="36" borderId="13" xfId="0" applyFont="1" applyFill="1" applyBorder="1" applyAlignment="1">
      <alignment horizontal="left" indent="2"/>
    </xf>
    <xf numFmtId="0" fontId="0" fillId="39" borderId="83" xfId="0" applyFill="1" applyBorder="1"/>
    <xf numFmtId="44" fontId="0" fillId="35" borderId="68" xfId="0" applyNumberFormat="1" applyFill="1" applyBorder="1"/>
    <xf numFmtId="44" fontId="0" fillId="35" borderId="74" xfId="0" applyNumberFormat="1" applyFill="1" applyBorder="1"/>
    <xf numFmtId="43" fontId="0" fillId="36" borderId="74" xfId="0" applyNumberFormat="1" applyFill="1" applyBorder="1"/>
    <xf numFmtId="44" fontId="0" fillId="36" borderId="74" xfId="0" applyNumberFormat="1" applyFill="1" applyBorder="1"/>
    <xf numFmtId="44" fontId="0" fillId="41" borderId="76" xfId="0" applyNumberFormat="1" applyFill="1" applyBorder="1"/>
    <xf numFmtId="0" fontId="35" fillId="35" borderId="13" xfId="0" applyFont="1" applyFill="1" applyBorder="1" applyAlignment="1">
      <alignment horizontal="center" vertical="center"/>
    </xf>
    <xf numFmtId="0" fontId="39" fillId="34" borderId="0" xfId="0" applyFont="1" applyFill="1"/>
    <xf numFmtId="0" fontId="40" fillId="37" borderId="13" xfId="0" applyFont="1" applyFill="1" applyBorder="1" applyAlignment="1">
      <alignment horizontal="center" vertical="center"/>
    </xf>
    <xf numFmtId="0" fontId="40" fillId="37" borderId="13" xfId="0" applyFont="1" applyFill="1" applyBorder="1"/>
    <xf numFmtId="0" fontId="40" fillId="35" borderId="13" xfId="0" applyFont="1" applyFill="1" applyBorder="1" applyAlignment="1">
      <alignment horizontal="center" vertical="center"/>
    </xf>
    <xf numFmtId="0" fontId="40" fillId="35" borderId="13" xfId="0" applyFont="1" applyFill="1" applyBorder="1"/>
    <xf numFmtId="0" fontId="40" fillId="36" borderId="13" xfId="0" applyFont="1" applyFill="1" applyBorder="1" applyAlignment="1">
      <alignment horizontal="center" vertical="center"/>
    </xf>
    <xf numFmtId="0" fontId="40" fillId="36" borderId="13" xfId="0" applyFont="1" applyFill="1" applyBorder="1"/>
    <xf numFmtId="0" fontId="35" fillId="36" borderId="13" xfId="0" applyFont="1" applyFill="1" applyBorder="1"/>
    <xf numFmtId="0" fontId="0" fillId="0" borderId="0" xfId="0" applyFont="1"/>
    <xf numFmtId="0" fontId="40" fillId="0" borderId="13" xfId="0" applyFont="1" applyBorder="1"/>
    <xf numFmtId="8" fontId="0" fillId="43" borderId="85" xfId="0" applyNumberFormat="1" applyFill="1" applyBorder="1"/>
    <xf numFmtId="168" fontId="0" fillId="45" borderId="85" xfId="0" applyNumberFormat="1" applyFill="1" applyBorder="1" applyAlignment="1">
      <alignment horizontal="right"/>
    </xf>
    <xf numFmtId="168" fontId="0" fillId="44" borderId="85" xfId="0" applyNumberFormat="1" applyFill="1" applyBorder="1" applyAlignment="1">
      <alignment horizontal="right"/>
    </xf>
    <xf numFmtId="168" fontId="0" fillId="18" borderId="85" xfId="0" applyNumberFormat="1" applyFill="1" applyBorder="1" applyAlignment="1">
      <alignment horizontal="right"/>
    </xf>
    <xf numFmtId="168" fontId="0" fillId="21" borderId="56" xfId="0" applyNumberFormat="1" applyFill="1" applyBorder="1" applyAlignment="1">
      <alignment horizontal="right"/>
    </xf>
    <xf numFmtId="168" fontId="0" fillId="43" borderId="85" xfId="0" applyNumberFormat="1" applyFill="1" applyBorder="1" applyAlignment="1">
      <alignment horizontal="right"/>
    </xf>
    <xf numFmtId="0" fontId="0" fillId="0" borderId="84" xfId="0" applyFont="1" applyBorder="1"/>
    <xf numFmtId="0" fontId="0" fillId="0" borderId="86" xfId="0" applyFont="1" applyBorder="1"/>
    <xf numFmtId="168" fontId="0" fillId="0" borderId="0" xfId="0" applyNumberFormat="1" applyFont="1" applyBorder="1"/>
    <xf numFmtId="168" fontId="0" fillId="36" borderId="0" xfId="0" applyNumberFormat="1" applyFont="1" applyFill="1" applyBorder="1"/>
    <xf numFmtId="168" fontId="0" fillId="36" borderId="0" xfId="0" applyNumberFormat="1" applyFont="1" applyFill="1"/>
    <xf numFmtId="168" fontId="0" fillId="41" borderId="87" xfId="0" applyNumberFormat="1" applyFont="1" applyFill="1" applyBorder="1"/>
    <xf numFmtId="0" fontId="42" fillId="33" borderId="0" xfId="0" applyFont="1" applyFill="1" applyBorder="1"/>
    <xf numFmtId="0" fontId="0" fillId="45" borderId="0" xfId="0" applyFill="1"/>
    <xf numFmtId="10" fontId="0" fillId="45" borderId="0" xfId="0" applyNumberFormat="1" applyFill="1"/>
    <xf numFmtId="9" fontId="18" fillId="0" borderId="0" xfId="0" applyNumberFormat="1" applyFont="1"/>
    <xf numFmtId="10" fontId="18" fillId="45" borderId="0" xfId="0" applyNumberFormat="1" applyFont="1" applyFill="1"/>
    <xf numFmtId="0" fontId="35" fillId="36" borderId="13" xfId="0" applyFont="1" applyFill="1" applyBorder="1" applyAlignment="1">
      <alignment horizontal="left" indent="1"/>
    </xf>
    <xf numFmtId="0" fontId="35" fillId="36" borderId="13" xfId="0" applyFont="1" applyFill="1" applyBorder="1" applyAlignment="1">
      <alignment horizontal="left" indent="2"/>
    </xf>
    <xf numFmtId="43" fontId="0" fillId="0" borderId="86" xfId="0" applyNumberFormat="1" applyBorder="1"/>
    <xf numFmtId="43" fontId="32" fillId="0" borderId="88" xfId="0" applyNumberFormat="1" applyFont="1" applyBorder="1"/>
    <xf numFmtId="43" fontId="0" fillId="0" borderId="88" xfId="0" applyNumberFormat="1" applyBorder="1"/>
    <xf numFmtId="43" fontId="32" fillId="0" borderId="89" xfId="0" applyNumberFormat="1" applyFont="1" applyBorder="1"/>
    <xf numFmtId="43" fontId="0" fillId="0" borderId="65" xfId="0" applyNumberFormat="1" applyBorder="1"/>
    <xf numFmtId="43" fontId="32" fillId="0" borderId="55" xfId="0" applyNumberFormat="1" applyFont="1" applyBorder="1"/>
    <xf numFmtId="43" fontId="0" fillId="0" borderId="55" xfId="0" applyNumberFormat="1" applyBorder="1"/>
    <xf numFmtId="43" fontId="32" fillId="0" borderId="56" xfId="0" applyNumberFormat="1" applyFont="1" applyBorder="1"/>
    <xf numFmtId="43" fontId="31" fillId="0" borderId="55" xfId="0" applyNumberFormat="1" applyFont="1" applyBorder="1"/>
    <xf numFmtId="6" fontId="12" fillId="9" borderId="6" xfId="0" applyNumberFormat="1" applyFont="1" applyFill="1" applyBorder="1" applyAlignment="1">
      <alignment horizontal="center" vertical="center" wrapText="1"/>
    </xf>
    <xf numFmtId="0" fontId="44" fillId="3" borderId="0" xfId="0" applyFont="1" applyFill="1"/>
    <xf numFmtId="168" fontId="44" fillId="3" borderId="0" xfId="0" applyNumberFormat="1" applyFont="1" applyFill="1"/>
    <xf numFmtId="44" fontId="44" fillId="3" borderId="0" xfId="0" applyNumberFormat="1" applyFont="1" applyFill="1"/>
    <xf numFmtId="17" fontId="0" fillId="3" borderId="0" xfId="0" applyNumberFormat="1" applyFill="1"/>
    <xf numFmtId="168" fontId="37" fillId="37" borderId="13" xfId="0" applyNumberFormat="1" applyFont="1" applyFill="1" applyBorder="1" applyAlignment="1">
      <alignment horizontal="left"/>
    </xf>
    <xf numFmtId="168" fontId="37" fillId="35" borderId="13" xfId="0" applyNumberFormat="1" applyFont="1" applyFill="1" applyBorder="1" applyAlignment="1">
      <alignment horizontal="left"/>
    </xf>
    <xf numFmtId="168" fontId="37" fillId="36" borderId="13" xfId="0" applyNumberFormat="1" applyFont="1" applyFill="1" applyBorder="1" applyAlignment="1">
      <alignment horizontal="left"/>
    </xf>
    <xf numFmtId="168" fontId="37" fillId="0" borderId="13" xfId="0" applyNumberFormat="1" applyFont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2" fillId="12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 wrapText="1"/>
    </xf>
    <xf numFmtId="0" fontId="12" fillId="8" borderId="5" xfId="0" applyFont="1" applyFill="1" applyBorder="1" applyAlignment="1">
      <alignment wrapText="1"/>
    </xf>
    <xf numFmtId="0" fontId="0" fillId="40" borderId="13" xfId="0" applyFill="1" applyBorder="1" applyAlignment="1">
      <alignment horizontal="center" vertical="center" wrapText="1"/>
    </xf>
    <xf numFmtId="0" fontId="0" fillId="35" borderId="13" xfId="0" applyFill="1" applyBorder="1" applyAlignment="1">
      <alignment horizontal="center" vertical="center" wrapText="1"/>
    </xf>
    <xf numFmtId="0" fontId="21" fillId="0" borderId="4" xfId="0" applyFont="1" applyBorder="1" applyAlignment="1">
      <alignment horizontal="center"/>
    </xf>
    <xf numFmtId="0" fontId="21" fillId="0" borderId="0" xfId="0" applyFont="1" applyAlignment="1">
      <alignment horizontal="center"/>
    </xf>
    <xf numFmtId="173" fontId="0" fillId="21" borderId="56" xfId="0" applyNumberFormat="1" applyFill="1" applyBorder="1" applyAlignment="1">
      <alignment horizontal="right"/>
    </xf>
    <xf numFmtId="172" fontId="0" fillId="18" borderId="85" xfId="0" applyNumberFormat="1" applyFill="1" applyBorder="1" applyAlignment="1">
      <alignment horizontal="right"/>
    </xf>
    <xf numFmtId="8" fontId="45" fillId="3" borderId="0" xfId="0" applyNumberFormat="1" applyFont="1" applyFill="1" applyAlignment="1">
      <alignment horizontal="center"/>
    </xf>
    <xf numFmtId="0" fontId="0" fillId="47" borderId="0" xfId="0" applyFill="1"/>
    <xf numFmtId="0" fontId="0" fillId="48" borderId="0" xfId="0" applyFill="1"/>
    <xf numFmtId="44" fontId="0" fillId="48" borderId="0" xfId="0" applyNumberFormat="1" applyFill="1"/>
    <xf numFmtId="0" fontId="0" fillId="49" borderId="0" xfId="0" applyFill="1"/>
    <xf numFmtId="0" fontId="0" fillId="27" borderId="0" xfId="0" applyFill="1"/>
    <xf numFmtId="0" fontId="4" fillId="27" borderId="0" xfId="0" applyFont="1" applyFill="1"/>
    <xf numFmtId="8" fontId="0" fillId="27" borderId="0" xfId="0" applyNumberFormat="1" applyFill="1" applyAlignment="1">
      <alignment horizontal="right"/>
    </xf>
    <xf numFmtId="8" fontId="0" fillId="50" borderId="0" xfId="0" applyNumberFormat="1" applyFill="1" applyAlignment="1">
      <alignment horizontal="right"/>
    </xf>
    <xf numFmtId="8" fontId="0" fillId="27" borderId="0" xfId="0" applyNumberFormat="1" applyFill="1"/>
    <xf numFmtId="0" fontId="0" fillId="50" borderId="0" xfId="0" applyFill="1"/>
    <xf numFmtId="0" fontId="11" fillId="50" borderId="9" xfId="0" applyFont="1" applyFill="1" applyBorder="1"/>
    <xf numFmtId="0" fontId="13" fillId="50" borderId="9" xfId="0" applyFont="1" applyFill="1" applyBorder="1" applyAlignment="1">
      <alignment horizontal="center" vertical="center" wrapText="1"/>
    </xf>
    <xf numFmtId="0" fontId="13" fillId="50" borderId="0" xfId="0" applyFont="1" applyFill="1"/>
    <xf numFmtId="171" fontId="0" fillId="27" borderId="0" xfId="0" applyNumberFormat="1" applyFill="1"/>
    <xf numFmtId="171" fontId="41" fillId="27" borderId="0" xfId="0" applyNumberFormat="1" applyFont="1" applyFill="1"/>
    <xf numFmtId="8" fontId="0" fillId="27" borderId="0" xfId="0" applyNumberFormat="1" applyFill="1" applyAlignment="1">
      <alignment horizontal="center"/>
    </xf>
    <xf numFmtId="0" fontId="0" fillId="27" borderId="0" xfId="0" applyFill="1" applyAlignment="1">
      <alignment horizontal="center"/>
    </xf>
    <xf numFmtId="0" fontId="5" fillId="51" borderId="0" xfId="0" applyFont="1" applyFill="1"/>
    <xf numFmtId="0" fontId="8" fillId="27" borderId="0" xfId="2" applyFont="1" applyFill="1" applyBorder="1" applyAlignment="1">
      <alignment horizontal="center" vertical="center"/>
    </xf>
    <xf numFmtId="0" fontId="0" fillId="28" borderId="0" xfId="0" applyFill="1"/>
    <xf numFmtId="0" fontId="0" fillId="52" borderId="0" xfId="0" applyFill="1"/>
    <xf numFmtId="2" fontId="0" fillId="52" borderId="0" xfId="0" applyNumberFormat="1" applyFill="1"/>
    <xf numFmtId="44" fontId="0" fillId="52" borderId="0" xfId="0" applyNumberFormat="1" applyFill="1"/>
    <xf numFmtId="0" fontId="0" fillId="53" borderId="0" xfId="0" applyFill="1"/>
    <xf numFmtId="6" fontId="12" fillId="10" borderId="7" xfId="0" applyNumberFormat="1" applyFont="1" applyFill="1" applyBorder="1" applyAlignment="1">
      <alignment horizontal="center" vertical="center" wrapText="1"/>
    </xf>
    <xf numFmtId="0" fontId="0" fillId="54" borderId="0" xfId="0" applyFill="1"/>
    <xf numFmtId="169" fontId="0" fillId="54" borderId="0" xfId="0" applyNumberFormat="1" applyFill="1"/>
    <xf numFmtId="44" fontId="0" fillId="54" borderId="0" xfId="0" applyNumberFormat="1" applyFill="1"/>
    <xf numFmtId="0" fontId="0" fillId="47" borderId="0" xfId="0" applyFill="1" applyBorder="1" applyAlignment="1"/>
    <xf numFmtId="171" fontId="41" fillId="47" borderId="0" xfId="0" applyNumberFormat="1" applyFont="1" applyFill="1" applyBorder="1"/>
    <xf numFmtId="0" fontId="0" fillId="47" borderId="0" xfId="0" applyFill="1" applyAlignment="1"/>
    <xf numFmtId="168" fontId="0" fillId="47" borderId="0" xfId="0" applyNumberFormat="1" applyFill="1"/>
    <xf numFmtId="0" fontId="0" fillId="55" borderId="0" xfId="0" applyFill="1"/>
    <xf numFmtId="168" fontId="0" fillId="55" borderId="0" xfId="0" applyNumberFormat="1" applyFill="1"/>
    <xf numFmtId="2" fontId="38" fillId="47" borderId="0" xfId="0" applyNumberFormat="1" applyFont="1" applyFill="1"/>
    <xf numFmtId="43" fontId="0" fillId="47" borderId="0" xfId="0" applyNumberFormat="1" applyFill="1" applyBorder="1"/>
    <xf numFmtId="0" fontId="43" fillId="53" borderId="0" xfId="0" applyFont="1" applyFill="1"/>
    <xf numFmtId="0" fontId="0" fillId="53" borderId="0" xfId="0" applyFill="1" applyAlignment="1"/>
    <xf numFmtId="0" fontId="0" fillId="47" borderId="0" xfId="0" applyFont="1" applyFill="1"/>
    <xf numFmtId="0" fontId="35" fillId="47" borderId="0" xfId="0" applyFont="1" applyFill="1"/>
    <xf numFmtId="168" fontId="35" fillId="47" borderId="0" xfId="0" applyNumberFormat="1" applyFont="1" applyFill="1"/>
    <xf numFmtId="0" fontId="34" fillId="47" borderId="0" xfId="0" applyFont="1" applyFill="1"/>
    <xf numFmtId="0" fontId="0" fillId="47" borderId="0" xfId="0" applyFill="1" applyAlignment="1">
      <alignment horizontal="right"/>
    </xf>
    <xf numFmtId="3" fontId="0" fillId="47" borderId="0" xfId="0" applyNumberFormat="1" applyFill="1" applyAlignment="1">
      <alignment horizontal="right"/>
    </xf>
    <xf numFmtId="3" fontId="0" fillId="47" borderId="0" xfId="0" applyNumberFormat="1" applyFill="1"/>
    <xf numFmtId="0" fontId="0" fillId="47" borderId="0" xfId="0" applyFill="1" applyAlignment="1">
      <alignment horizontal="center"/>
    </xf>
    <xf numFmtId="0" fontId="0" fillId="3" borderId="9" xfId="0" applyFill="1" applyBorder="1" applyAlignment="1"/>
    <xf numFmtId="0" fontId="0" fillId="3" borderId="0" xfId="0" applyFill="1" applyBorder="1" applyAlignment="1"/>
    <xf numFmtId="0" fontId="0" fillId="3" borderId="10" xfId="0" applyFill="1" applyBorder="1" applyAlignment="1"/>
    <xf numFmtId="0" fontId="0" fillId="3" borderId="0" xfId="0" applyFill="1" applyAlignment="1">
      <alignment horizontal="right"/>
    </xf>
    <xf numFmtId="0" fontId="0" fillId="3" borderId="23" xfId="0" applyFill="1" applyBorder="1" applyAlignment="1">
      <alignment horizontal="right"/>
    </xf>
    <xf numFmtId="0" fontId="0" fillId="3" borderId="10" xfId="0" applyFill="1" applyBorder="1" applyAlignment="1">
      <alignment horizontal="right"/>
    </xf>
    <xf numFmtId="0" fontId="0" fillId="3" borderId="10" xfId="0" applyFill="1" applyBorder="1"/>
    <xf numFmtId="43" fontId="0" fillId="3" borderId="9" xfId="0" applyNumberFormat="1" applyFill="1" applyBorder="1"/>
    <xf numFmtId="43" fontId="0" fillId="3" borderId="12" xfId="0" applyNumberFormat="1" applyFill="1" applyBorder="1" applyAlignment="1">
      <alignment horizontal="right"/>
    </xf>
    <xf numFmtId="43" fontId="0" fillId="3" borderId="0" xfId="0" applyNumberFormat="1" applyFill="1"/>
    <xf numFmtId="2" fontId="0" fillId="3" borderId="0" xfId="0" applyNumberFormat="1" applyFill="1"/>
    <xf numFmtId="0" fontId="0" fillId="3" borderId="6" xfId="0" applyFill="1" applyBorder="1" applyAlignment="1">
      <alignment horizontal="right"/>
    </xf>
    <xf numFmtId="0" fontId="0" fillId="56" borderId="0" xfId="0" applyFill="1"/>
    <xf numFmtId="0" fontId="0" fillId="56" borderId="0" xfId="0" applyFill="1" applyAlignment="1">
      <alignment horizontal="right"/>
    </xf>
    <xf numFmtId="0" fontId="0" fillId="56" borderId="0" xfId="0" applyNumberFormat="1" applyFill="1"/>
    <xf numFmtId="168" fontId="0" fillId="56" borderId="0" xfId="0" applyNumberFormat="1" applyFill="1"/>
    <xf numFmtId="10" fontId="0" fillId="56" borderId="0" xfId="0" applyNumberFormat="1" applyFill="1"/>
    <xf numFmtId="0" fontId="0" fillId="57" borderId="0" xfId="0" applyFill="1"/>
    <xf numFmtId="164" fontId="0" fillId="54" borderId="0" xfId="0" applyNumberFormat="1" applyFill="1"/>
    <xf numFmtId="0" fontId="12" fillId="8" borderId="5" xfId="0" applyFont="1" applyFill="1" applyBorder="1" applyAlignment="1">
      <alignment wrapText="1"/>
    </xf>
    <xf numFmtId="0" fontId="12" fillId="8" borderId="0" xfId="0" applyFont="1" applyFill="1" applyAlignment="1">
      <alignment wrapText="1"/>
    </xf>
    <xf numFmtId="0" fontId="12" fillId="8" borderId="6" xfId="0" applyFont="1" applyFill="1" applyBorder="1" applyAlignment="1">
      <alignment wrapText="1"/>
    </xf>
    <xf numFmtId="0" fontId="9" fillId="6" borderId="1" xfId="0" applyFont="1" applyFill="1" applyBorder="1" applyAlignment="1">
      <alignment horizontal="center" vertical="center" wrapText="1"/>
    </xf>
    <xf numFmtId="0" fontId="10" fillId="6" borderId="2" xfId="0" applyFont="1" applyFill="1" applyBorder="1" applyAlignment="1"/>
    <xf numFmtId="0" fontId="46" fillId="27" borderId="0" xfId="0" applyFont="1" applyFill="1" applyAlignment="1">
      <alignment horizontal="center" vertical="center"/>
    </xf>
    <xf numFmtId="0" fontId="6" fillId="27" borderId="0" xfId="2" applyFont="1" applyFill="1" applyBorder="1" applyAlignment="1">
      <alignment horizontal="center" vertical="center" wrapText="1"/>
    </xf>
    <xf numFmtId="0" fontId="7" fillId="27" borderId="0" xfId="0" applyFont="1" applyFill="1" applyAlignment="1">
      <alignment wrapText="1"/>
    </xf>
    <xf numFmtId="0" fontId="0" fillId="6" borderId="2" xfId="0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 wrapText="1"/>
    </xf>
    <xf numFmtId="0" fontId="10" fillId="6" borderId="3" xfId="0" applyFont="1" applyFill="1" applyBorder="1" applyAlignment="1"/>
    <xf numFmtId="0" fontId="11" fillId="6" borderId="2" xfId="0" applyFont="1" applyFill="1" applyBorder="1" applyAlignment="1">
      <alignment horizontal="center" vertical="center" wrapText="1"/>
    </xf>
    <xf numFmtId="0" fontId="11" fillId="6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12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 wrapText="1"/>
    </xf>
    <xf numFmtId="0" fontId="20" fillId="16" borderId="5" xfId="0" applyFont="1" applyFill="1" applyBorder="1" applyAlignment="1"/>
    <xf numFmtId="0" fontId="19" fillId="0" borderId="0" xfId="0" applyFont="1" applyAlignment="1"/>
    <xf numFmtId="0" fontId="19" fillId="0" borderId="6" xfId="0" applyFont="1" applyBorder="1" applyAlignment="1"/>
    <xf numFmtId="0" fontId="20" fillId="17" borderId="13" xfId="0" applyFont="1" applyFill="1" applyBorder="1" applyAlignment="1">
      <alignment horizontal="right"/>
    </xf>
    <xf numFmtId="0" fontId="18" fillId="21" borderId="9" xfId="0" applyFont="1" applyFill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20" fillId="16" borderId="11" xfId="0" applyFont="1" applyFill="1" applyBorder="1" applyAlignment="1"/>
    <xf numFmtId="0" fontId="19" fillId="0" borderId="9" xfId="0" applyFont="1" applyBorder="1" applyAlignment="1"/>
    <xf numFmtId="0" fontId="19" fillId="0" borderId="12" xfId="0" applyFont="1" applyBorder="1" applyAlignment="1"/>
    <xf numFmtId="0" fontId="0" fillId="0" borderId="13" xfId="0" applyBorder="1" applyAlignment="1">
      <alignment horizontal="center" vertical="center"/>
    </xf>
    <xf numFmtId="0" fontId="0" fillId="40" borderId="13" xfId="0" applyFill="1" applyBorder="1" applyAlignment="1">
      <alignment horizontal="center"/>
    </xf>
    <xf numFmtId="0" fontId="0" fillId="40" borderId="13" xfId="0" applyFill="1" applyBorder="1" applyAlignment="1">
      <alignment horizontal="center" vertical="center" wrapText="1"/>
    </xf>
    <xf numFmtId="0" fontId="0" fillId="35" borderId="13" xfId="0" applyFill="1" applyBorder="1" applyAlignment="1">
      <alignment horizontal="center" vertical="center" wrapText="1"/>
    </xf>
    <xf numFmtId="0" fontId="0" fillId="36" borderId="13" xfId="0" applyFill="1" applyBorder="1" applyAlignment="1">
      <alignment horizontal="center" vertical="center" wrapText="1"/>
    </xf>
    <xf numFmtId="0" fontId="0" fillId="24" borderId="66" xfId="0" applyFill="1" applyBorder="1" applyAlignment="1">
      <alignment horizontal="center"/>
    </xf>
    <xf numFmtId="0" fontId="0" fillId="24" borderId="67" xfId="0" applyFill="1" applyBorder="1" applyAlignment="1">
      <alignment horizontal="center"/>
    </xf>
    <xf numFmtId="0" fontId="0" fillId="32" borderId="67" xfId="0" applyFill="1" applyBorder="1" applyAlignment="1">
      <alignment horizontal="center"/>
    </xf>
    <xf numFmtId="0" fontId="0" fillId="32" borderId="68" xfId="0" applyFill="1" applyBorder="1" applyAlignment="1">
      <alignment horizontal="center"/>
    </xf>
    <xf numFmtId="0" fontId="27" fillId="30" borderId="67" xfId="0" applyFont="1" applyFill="1" applyBorder="1" applyAlignment="1">
      <alignment horizontal="center"/>
    </xf>
    <xf numFmtId="0" fontId="27" fillId="30" borderId="68" xfId="0" applyFont="1" applyFill="1" applyBorder="1" applyAlignment="1">
      <alignment horizontal="center"/>
    </xf>
    <xf numFmtId="0" fontId="27" fillId="30" borderId="66" xfId="0" applyFont="1" applyFill="1" applyBorder="1" applyAlignment="1">
      <alignment horizontal="center"/>
    </xf>
    <xf numFmtId="0" fontId="30" fillId="33" borderId="72" xfId="0" applyFont="1" applyFill="1" applyBorder="1" applyAlignment="1">
      <alignment horizontal="center"/>
    </xf>
    <xf numFmtId="0" fontId="0" fillId="24" borderId="68" xfId="0" applyFill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44" borderId="84" xfId="0" applyFill="1" applyBorder="1" applyAlignment="1">
      <alignment horizontal="left"/>
    </xf>
    <xf numFmtId="0" fontId="0" fillId="44" borderId="13" xfId="0" applyFill="1" applyBorder="1" applyAlignment="1">
      <alignment horizontal="left"/>
    </xf>
    <xf numFmtId="0" fontId="0" fillId="42" borderId="84" xfId="0" applyFill="1" applyBorder="1" applyAlignment="1">
      <alignment horizontal="left"/>
    </xf>
    <xf numFmtId="0" fontId="0" fillId="42" borderId="13" xfId="0" applyFill="1" applyBorder="1" applyAlignment="1">
      <alignment horizontal="left"/>
    </xf>
    <xf numFmtId="0" fontId="0" fillId="45" borderId="84" xfId="0" applyFill="1" applyBorder="1" applyAlignment="1">
      <alignment horizontal="left"/>
    </xf>
    <xf numFmtId="0" fontId="0" fillId="45" borderId="13" xfId="0" applyFill="1" applyBorder="1" applyAlignment="1">
      <alignment horizontal="left"/>
    </xf>
    <xf numFmtId="0" fontId="0" fillId="0" borderId="7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4" xfId="0" applyBorder="1" applyAlignment="1">
      <alignment horizontal="center"/>
    </xf>
    <xf numFmtId="0" fontId="0" fillId="46" borderId="84" xfId="0" applyFill="1" applyBorder="1" applyAlignment="1">
      <alignment horizontal="left"/>
    </xf>
    <xf numFmtId="0" fontId="0" fillId="46" borderId="13" xfId="0" applyFill="1" applyBorder="1" applyAlignment="1">
      <alignment horizontal="left"/>
    </xf>
    <xf numFmtId="0" fontId="0" fillId="41" borderId="65" xfId="0" applyFill="1" applyBorder="1" applyAlignment="1">
      <alignment horizontal="left"/>
    </xf>
    <xf numFmtId="0" fontId="0" fillId="41" borderId="55" xfId="0" applyFill="1" applyBorder="1" applyAlignment="1">
      <alignment horizontal="left"/>
    </xf>
    <xf numFmtId="0" fontId="0" fillId="36" borderId="73" xfId="0" applyFill="1" applyBorder="1" applyAlignment="1">
      <alignment horizontal="center" vertical="center"/>
    </xf>
    <xf numFmtId="0" fontId="0" fillId="36" borderId="0" xfId="0" applyFill="1" applyAlignment="1">
      <alignment horizontal="center" vertical="center"/>
    </xf>
    <xf numFmtId="0" fontId="0" fillId="36" borderId="80" xfId="0" applyFill="1" applyBorder="1" applyAlignment="1">
      <alignment horizontal="center" vertical="center"/>
    </xf>
    <xf numFmtId="0" fontId="0" fillId="0" borderId="73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80" xfId="0" applyBorder="1" applyAlignment="1">
      <alignment horizontal="right"/>
    </xf>
    <xf numFmtId="0" fontId="0" fillId="35" borderId="73" xfId="0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5" borderId="80" xfId="0" applyFill="1" applyBorder="1" applyAlignment="1">
      <alignment horizontal="center" vertical="center"/>
    </xf>
    <xf numFmtId="0" fontId="0" fillId="36" borderId="73" xfId="0" applyFill="1" applyBorder="1" applyAlignment="1">
      <alignment horizontal="center"/>
    </xf>
    <xf numFmtId="0" fontId="0" fillId="36" borderId="0" xfId="0" applyFill="1" applyAlignment="1">
      <alignment horizontal="center"/>
    </xf>
    <xf numFmtId="0" fontId="0" fillId="36" borderId="80" xfId="0" applyFill="1" applyBorder="1" applyAlignment="1">
      <alignment horizontal="center"/>
    </xf>
    <xf numFmtId="0" fontId="0" fillId="0" borderId="73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80" xfId="0" applyBorder="1" applyAlignment="1">
      <alignment horizontal="right" vertical="center"/>
    </xf>
    <xf numFmtId="0" fontId="0" fillId="41" borderId="75" xfId="0" applyFill="1" applyBorder="1" applyAlignment="1">
      <alignment horizontal="center" vertical="center"/>
    </xf>
    <xf numFmtId="0" fontId="0" fillId="41" borderId="72" xfId="0" applyFill="1" applyBorder="1" applyAlignment="1">
      <alignment horizontal="center" vertical="center"/>
    </xf>
    <xf numFmtId="0" fontId="0" fillId="41" borderId="82" xfId="0" applyFill="1" applyBorder="1" applyAlignment="1">
      <alignment horizontal="center" vertical="center"/>
    </xf>
    <xf numFmtId="0" fontId="0" fillId="38" borderId="73" xfId="0" applyFill="1" applyBorder="1" applyAlignment="1">
      <alignment horizontal="center"/>
    </xf>
    <xf numFmtId="0" fontId="0" fillId="38" borderId="0" xfId="0" applyFill="1" applyAlignment="1">
      <alignment horizontal="center"/>
    </xf>
    <xf numFmtId="0" fontId="0" fillId="38" borderId="80" xfId="0" applyFill="1" applyBorder="1" applyAlignment="1">
      <alignment horizontal="center"/>
    </xf>
    <xf numFmtId="0" fontId="0" fillId="35" borderId="66" xfId="0" applyFill="1" applyBorder="1" applyAlignment="1">
      <alignment horizontal="center" vertical="center"/>
    </xf>
    <xf numFmtId="0" fontId="0" fillId="35" borderId="67" xfId="0" applyFill="1" applyBorder="1" applyAlignment="1">
      <alignment horizontal="center" vertical="center"/>
    </xf>
    <xf numFmtId="0" fontId="0" fillId="35" borderId="81" xfId="0" applyFill="1" applyBorder="1" applyAlignment="1">
      <alignment horizontal="center" vertical="center"/>
    </xf>
    <xf numFmtId="0" fontId="0" fillId="36" borderId="0" xfId="0" applyFill="1" applyBorder="1" applyAlignment="1">
      <alignment horizontal="center" vertical="center"/>
    </xf>
    <xf numFmtId="0" fontId="0" fillId="35" borderId="0" xfId="0" applyFill="1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36" borderId="0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38" borderId="77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8" borderId="79" xfId="0" applyFill="1" applyBorder="1" applyAlignment="1">
      <alignment horizontal="center"/>
    </xf>
    <xf numFmtId="0" fontId="0" fillId="47" borderId="0" xfId="0" applyFill="1" applyAlignment="1">
      <alignment horizontal="center"/>
    </xf>
    <xf numFmtId="0" fontId="21" fillId="23" borderId="32" xfId="0" applyFont="1" applyFill="1" applyBorder="1" applyAlignment="1">
      <alignment horizontal="center"/>
    </xf>
    <xf numFmtId="0" fontId="0" fillId="23" borderId="33" xfId="0" applyFill="1" applyBorder="1" applyAlignment="1"/>
    <xf numFmtId="0" fontId="0" fillId="23" borderId="35" xfId="0" applyFill="1" applyBorder="1" applyAlignment="1"/>
    <xf numFmtId="0" fontId="22" fillId="24" borderId="38" xfId="0" applyFont="1" applyFill="1" applyBorder="1" applyAlignment="1">
      <alignment horizontal="center" vertical="center" wrapText="1" shrinkToFit="1"/>
    </xf>
    <xf numFmtId="0" fontId="22" fillId="24" borderId="39" xfId="0" applyFont="1" applyFill="1" applyBorder="1" applyAlignment="1">
      <alignment horizontal="center"/>
    </xf>
    <xf numFmtId="0" fontId="22" fillId="15" borderId="40" xfId="0" applyFont="1" applyFill="1" applyBorder="1" applyAlignment="1">
      <alignment horizontal="center" vertical="center" wrapText="1" shrinkToFit="1"/>
    </xf>
    <xf numFmtId="0" fontId="22" fillId="15" borderId="39" xfId="0" applyFont="1" applyFill="1" applyBorder="1" applyAlignment="1">
      <alignment horizontal="center"/>
    </xf>
    <xf numFmtId="0" fontId="22" fillId="22" borderId="40" xfId="0" applyFont="1" applyFill="1" applyBorder="1" applyAlignment="1">
      <alignment horizontal="center" vertical="center" wrapText="1" shrinkToFit="1"/>
    </xf>
    <xf numFmtId="0" fontId="22" fillId="22" borderId="39" xfId="0" applyFont="1" applyFill="1" applyBorder="1" applyAlignment="1">
      <alignment horizontal="center"/>
    </xf>
    <xf numFmtId="0" fontId="0" fillId="0" borderId="41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3" fontId="27" fillId="0" borderId="27" xfId="0" applyNumberFormat="1" applyFont="1" applyBorder="1" applyAlignment="1">
      <alignment horizontal="center"/>
    </xf>
    <xf numFmtId="3" fontId="27" fillId="0" borderId="28" xfId="0" applyNumberFormat="1" applyFont="1" applyBorder="1" applyAlignment="1">
      <alignment horizontal="center"/>
    </xf>
    <xf numFmtId="3" fontId="27" fillId="0" borderId="30" xfId="0" applyNumberFormat="1" applyFont="1" applyBorder="1" applyAlignment="1">
      <alignment horizontal="center"/>
    </xf>
    <xf numFmtId="3" fontId="27" fillId="0" borderId="31" xfId="0" applyNumberFormat="1" applyFont="1" applyBorder="1" applyAlignment="1">
      <alignment horizontal="center"/>
    </xf>
    <xf numFmtId="0" fontId="21" fillId="0" borderId="0" xfId="0" applyFont="1" applyAlignment="1">
      <alignment horizontal="center"/>
    </xf>
    <xf numFmtId="0" fontId="0" fillId="23" borderId="34" xfId="0" applyFill="1" applyBorder="1" applyAlignment="1"/>
    <xf numFmtId="0" fontId="0" fillId="22" borderId="0" xfId="0" applyFill="1" applyAlignment="1">
      <alignment horizontal="center"/>
    </xf>
    <xf numFmtId="0" fontId="21" fillId="0" borderId="15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0" borderId="16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/>
    <xf numFmtId="0" fontId="22" fillId="15" borderId="23" xfId="0" applyFont="1" applyFill="1" applyBorder="1" applyAlignment="1">
      <alignment horizontal="center" vertical="center" wrapText="1" shrinkToFit="1"/>
    </xf>
    <xf numFmtId="0" fontId="22" fillId="15" borderId="36" xfId="0" applyFont="1" applyFill="1" applyBorder="1" applyAlignment="1">
      <alignment horizontal="center"/>
    </xf>
    <xf numFmtId="0" fontId="22" fillId="22" borderId="23" xfId="0" applyFont="1" applyFill="1" applyBorder="1" applyAlignment="1">
      <alignment horizontal="center" vertical="center" wrapText="1" shrinkToFit="1"/>
    </xf>
    <xf numFmtId="0" fontId="22" fillId="22" borderId="36" xfId="0" applyFont="1" applyFill="1" applyBorder="1" applyAlignment="1">
      <alignment horizontal="center"/>
    </xf>
    <xf numFmtId="0" fontId="0" fillId="0" borderId="23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22" fillId="24" borderId="63" xfId="0" applyFont="1" applyFill="1" applyBorder="1" applyAlignment="1">
      <alignment horizontal="center" vertical="center" wrapText="1" shrinkToFit="1"/>
    </xf>
    <xf numFmtId="0" fontId="22" fillId="24" borderId="36" xfId="0" applyFont="1" applyFill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0" fillId="0" borderId="64" xfId="0" applyFont="1" applyBorder="1" applyAlignment="1">
      <alignment horizontal="center"/>
    </xf>
    <xf numFmtId="0" fontId="0" fillId="0" borderId="84" xfId="0" applyFont="1" applyBorder="1" applyAlignment="1">
      <alignment horizontal="center"/>
    </xf>
    <xf numFmtId="0" fontId="0" fillId="0" borderId="90" xfId="0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0" fontId="0" fillId="0" borderId="93" xfId="0" applyBorder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18" fillId="3" borderId="0" xfId="0" applyFont="1" applyFill="1"/>
    <xf numFmtId="8" fontId="0" fillId="3" borderId="0" xfId="0" applyNumberFormat="1" applyFill="1"/>
    <xf numFmtId="168" fontId="0" fillId="41" borderId="0" xfId="0" applyNumberFormat="1" applyFont="1" applyFill="1" applyBorder="1"/>
    <xf numFmtId="0" fontId="0" fillId="0" borderId="0" xfId="0" applyFont="1" applyFill="1" applyBorder="1"/>
    <xf numFmtId="168" fontId="0" fillId="58" borderId="0" xfId="0" applyNumberFormat="1" applyFill="1"/>
    <xf numFmtId="168" fontId="0" fillId="58" borderId="10" xfId="0" applyNumberFormat="1" applyFill="1" applyBorder="1"/>
    <xf numFmtId="0" fontId="0" fillId="58" borderId="0" xfId="0" applyFill="1" applyAlignment="1">
      <alignment horizontal="center" vertical="center"/>
    </xf>
  </cellXfs>
  <cellStyles count="5">
    <cellStyle name="Énfasis6" xfId="2" builtinId="49"/>
    <cellStyle name="Millares" xfId="4" builtinId="3"/>
    <cellStyle name="Moneda" xfId="1" builtinId="4"/>
    <cellStyle name="Normal" xfId="0" builtinId="0"/>
    <cellStyle name="Porcentaje" xfId="3" builtinId="5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apital%20Social%20macros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muneraciones"/>
      <sheetName val="Inversion Total"/>
      <sheetName val="Depreciación"/>
    </sheetNames>
    <sheetDataSet>
      <sheetData sheetId="0">
        <row r="3">
          <cell r="G3">
            <v>13500</v>
          </cell>
        </row>
        <row r="4">
          <cell r="G4">
            <v>8100</v>
          </cell>
        </row>
        <row r="5">
          <cell r="G5">
            <v>8100</v>
          </cell>
        </row>
        <row r="6">
          <cell r="G6">
            <v>24300</v>
          </cell>
        </row>
        <row r="7">
          <cell r="G7">
            <v>1350</v>
          </cell>
        </row>
        <row r="8">
          <cell r="G8">
            <v>2700</v>
          </cell>
        </row>
        <row r="9">
          <cell r="G9">
            <v>2700</v>
          </cell>
        </row>
        <row r="10">
          <cell r="G10">
            <v>6750</v>
          </cell>
        </row>
        <row r="11">
          <cell r="G11">
            <v>1350</v>
          </cell>
        </row>
        <row r="12">
          <cell r="G12">
            <v>1350</v>
          </cell>
        </row>
        <row r="13">
          <cell r="G13">
            <v>4050</v>
          </cell>
        </row>
        <row r="14">
          <cell r="G14">
            <v>1350</v>
          </cell>
        </row>
        <row r="15">
          <cell r="G15">
            <v>1350</v>
          </cell>
        </row>
        <row r="16">
          <cell r="G16">
            <v>8100</v>
          </cell>
        </row>
        <row r="17">
          <cell r="G17">
            <v>8100</v>
          </cell>
        </row>
        <row r="18">
          <cell r="G18">
            <v>8100</v>
          </cell>
        </row>
      </sheetData>
      <sheetData sheetId="1">
        <row r="53">
          <cell r="C53">
            <v>30000</v>
          </cell>
        </row>
        <row r="54">
          <cell r="C54">
            <v>1500</v>
          </cell>
        </row>
        <row r="57">
          <cell r="C57">
            <v>1500</v>
          </cell>
        </row>
      </sheetData>
      <sheetData sheetId="2">
        <row r="14">
          <cell r="J14">
            <v>2219.6296296296296</v>
          </cell>
        </row>
        <row r="24">
          <cell r="J24">
            <v>576.875</v>
          </cell>
        </row>
        <row r="34">
          <cell r="J34">
            <v>1366.4675925925924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51AB2-7855-405D-8EA8-60FADF5C8D75}">
  <sheetPr codeName="Hoja1"/>
  <dimension ref="B2:H13"/>
  <sheetViews>
    <sheetView workbookViewId="0">
      <selection activeCell="C17" sqref="C17"/>
    </sheetView>
  </sheetViews>
  <sheetFormatPr baseColWidth="10" defaultColWidth="11.54296875" defaultRowHeight="15" x14ac:dyDescent="0.25"/>
  <cols>
    <col min="1" max="2" width="11.54296875" style="272"/>
    <col min="3" max="3" width="27.54296875" style="272" customWidth="1"/>
    <col min="4" max="4" width="19" style="272" customWidth="1"/>
    <col min="5" max="5" width="21.08984375" style="272" customWidth="1"/>
    <col min="6" max="6" width="11.54296875" style="272"/>
    <col min="7" max="7" width="17.90625" style="272" customWidth="1"/>
    <col min="8" max="16384" width="11.54296875" style="272"/>
  </cols>
  <sheetData>
    <row r="2" spans="2:8" x14ac:dyDescent="0.25">
      <c r="B2" s="273"/>
      <c r="C2" s="273"/>
      <c r="D2" s="273"/>
      <c r="E2" s="273"/>
      <c r="F2" s="273"/>
      <c r="G2" s="273"/>
      <c r="H2" s="273"/>
    </row>
    <row r="3" spans="2:8" ht="15.6" x14ac:dyDescent="0.3">
      <c r="B3" s="273"/>
      <c r="C3" s="37" t="s">
        <v>0</v>
      </c>
      <c r="D3" s="37" t="s">
        <v>1</v>
      </c>
      <c r="E3" s="37" t="s">
        <v>2</v>
      </c>
      <c r="F3" s="273"/>
      <c r="G3" s="273"/>
      <c r="H3" s="273"/>
    </row>
    <row r="4" spans="2:8" ht="15.6" x14ac:dyDescent="0.3">
      <c r="B4" s="273"/>
      <c r="C4" s="38" t="s">
        <v>3</v>
      </c>
      <c r="D4" s="39">
        <v>125</v>
      </c>
      <c r="E4" s="40">
        <v>75000</v>
      </c>
      <c r="F4" s="273"/>
      <c r="G4" s="273"/>
      <c r="H4" s="273"/>
    </row>
    <row r="5" spans="2:8" ht="15.6" x14ac:dyDescent="0.3">
      <c r="B5" s="273"/>
      <c r="C5" s="41" t="s">
        <v>4</v>
      </c>
      <c r="D5" s="42">
        <v>75</v>
      </c>
      <c r="E5" s="43">
        <v>45000</v>
      </c>
      <c r="F5" s="273"/>
      <c r="G5" s="273"/>
      <c r="H5" s="273"/>
    </row>
    <row r="6" spans="2:8" ht="15.6" x14ac:dyDescent="0.3">
      <c r="B6" s="273"/>
      <c r="C6" s="38" t="s">
        <v>5</v>
      </c>
      <c r="D6" s="39">
        <v>100</v>
      </c>
      <c r="E6" s="40">
        <v>60000</v>
      </c>
      <c r="F6" s="273"/>
      <c r="G6" s="37" t="s">
        <v>6</v>
      </c>
      <c r="H6" s="273"/>
    </row>
    <row r="7" spans="2:8" ht="15.6" x14ac:dyDescent="0.3">
      <c r="B7" s="273"/>
      <c r="C7" s="41" t="s">
        <v>7</v>
      </c>
      <c r="D7" s="42">
        <v>50</v>
      </c>
      <c r="E7" s="43">
        <v>30000</v>
      </c>
      <c r="F7" s="273"/>
      <c r="G7" s="45">
        <v>600</v>
      </c>
      <c r="H7" s="273"/>
    </row>
    <row r="8" spans="2:8" ht="15.6" x14ac:dyDescent="0.3">
      <c r="B8" s="273"/>
      <c r="C8" s="38" t="s">
        <v>8</v>
      </c>
      <c r="D8" s="39">
        <v>300</v>
      </c>
      <c r="E8" s="40">
        <v>180000</v>
      </c>
      <c r="F8" s="273"/>
      <c r="G8" s="273"/>
      <c r="H8" s="273"/>
    </row>
    <row r="9" spans="2:8" ht="15.6" x14ac:dyDescent="0.3">
      <c r="B9" s="273"/>
      <c r="C9" s="43" t="s">
        <v>9</v>
      </c>
      <c r="D9" s="43"/>
      <c r="E9" s="43">
        <f>SUM(E4:E8)+D13</f>
        <v>390000</v>
      </c>
      <c r="F9" s="273"/>
      <c r="G9" s="273"/>
      <c r="H9" s="273"/>
    </row>
    <row r="10" spans="2:8" ht="15.6" x14ac:dyDescent="0.3">
      <c r="B10" s="273"/>
      <c r="C10" s="252" t="s">
        <v>10</v>
      </c>
      <c r="D10" s="1"/>
      <c r="E10" s="254">
        <f>'Inversion Total'!E66+'Inversion Total'!E67</f>
        <v>52885.014193747353</v>
      </c>
      <c r="F10" s="273"/>
      <c r="G10" s="273"/>
      <c r="H10" s="273"/>
    </row>
    <row r="11" spans="2:8" ht="15.6" x14ac:dyDescent="0.3">
      <c r="B11" s="273"/>
      <c r="C11" s="252" t="s">
        <v>11</v>
      </c>
      <c r="D11" s="1"/>
      <c r="E11" s="253">
        <f>E9+E10</f>
        <v>442885.01419374737</v>
      </c>
      <c r="F11" s="273"/>
      <c r="G11" s="273"/>
      <c r="H11" s="273"/>
    </row>
    <row r="12" spans="2:8" x14ac:dyDescent="0.25">
      <c r="B12" s="273"/>
      <c r="C12" s="273"/>
      <c r="D12" s="273"/>
      <c r="E12" s="273"/>
      <c r="F12" s="273"/>
      <c r="G12" s="273"/>
      <c r="H12" s="273"/>
    </row>
    <row r="13" spans="2:8" x14ac:dyDescent="0.25">
      <c r="B13" s="273"/>
      <c r="C13" s="273"/>
      <c r="D13" s="274"/>
      <c r="E13" s="273"/>
      <c r="F13" s="273"/>
      <c r="G13" s="273"/>
      <c r="H13" s="27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8D750-C823-4700-AB45-5ECEFBCC8615}">
  <sheetPr codeName="Hoja5"/>
  <dimension ref="A1:V112"/>
  <sheetViews>
    <sheetView topLeftCell="A40" workbookViewId="0"/>
  </sheetViews>
  <sheetFormatPr baseColWidth="10" defaultColWidth="11.54296875" defaultRowHeight="15" x14ac:dyDescent="0.25"/>
  <cols>
    <col min="1" max="1" width="11.54296875" style="276"/>
    <col min="2" max="2" width="45.90625" style="276" customWidth="1"/>
    <col min="3" max="3" width="9.36328125" style="276" customWidth="1"/>
    <col min="4" max="4" width="9.90625" style="276" customWidth="1"/>
    <col min="5" max="5" width="10.6328125" style="276" customWidth="1"/>
    <col min="6" max="6" width="15" style="276" customWidth="1"/>
    <col min="7" max="7" width="15.08984375" style="276" customWidth="1"/>
    <col min="8" max="8" width="14.453125" style="276" customWidth="1"/>
    <col min="9" max="16" width="11.54296875" style="276"/>
  </cols>
  <sheetData>
    <row r="1" spans="1:6" s="276" customFormat="1" x14ac:dyDescent="0.25">
      <c r="A1" s="277"/>
    </row>
    <row r="2" spans="1:6" s="276" customFormat="1" ht="24.6" x14ac:dyDescent="0.25">
      <c r="B2" s="342" t="s">
        <v>75</v>
      </c>
      <c r="C2" s="342"/>
      <c r="D2" s="342"/>
      <c r="E2" s="342"/>
      <c r="F2" s="342"/>
    </row>
    <row r="3" spans="1:6" s="276" customFormat="1" ht="15" customHeight="1" x14ac:dyDescent="0.25">
      <c r="B3" s="287"/>
      <c r="C3" s="288"/>
      <c r="D3" s="288"/>
      <c r="E3" s="278"/>
      <c r="F3" s="288"/>
    </row>
    <row r="4" spans="1:6" s="276" customFormat="1" ht="15" customHeight="1" x14ac:dyDescent="0.25">
      <c r="B4" s="288"/>
      <c r="C4" s="288"/>
      <c r="D4" s="288"/>
      <c r="E4" s="278"/>
      <c r="F4" s="288"/>
    </row>
    <row r="5" spans="1:6" s="276" customFormat="1" ht="15" customHeight="1" x14ac:dyDescent="0.25">
      <c r="B5" s="289" t="s">
        <v>76</v>
      </c>
      <c r="C5" s="281"/>
      <c r="D5" s="281"/>
      <c r="E5" s="279"/>
      <c r="F5" s="281"/>
    </row>
    <row r="6" spans="1:6" s="276" customFormat="1" ht="18" x14ac:dyDescent="0.25">
      <c r="B6" s="281"/>
      <c r="C6" s="281"/>
      <c r="D6" s="343"/>
      <c r="E6" s="344"/>
      <c r="F6" s="290"/>
    </row>
    <row r="7" spans="1:6" s="276" customFormat="1" ht="15" customHeight="1" x14ac:dyDescent="0.25">
      <c r="B7" s="340" t="s">
        <v>77</v>
      </c>
      <c r="C7" s="341"/>
      <c r="D7" s="341"/>
      <c r="E7" s="341"/>
      <c r="F7" s="263"/>
    </row>
    <row r="8" spans="1:6" s="276" customFormat="1" x14ac:dyDescent="0.25">
      <c r="B8" s="340"/>
      <c r="C8" s="341"/>
      <c r="D8" s="341"/>
      <c r="E8" s="341"/>
      <c r="F8" s="3" t="s">
        <v>78</v>
      </c>
    </row>
    <row r="9" spans="1:6" s="276" customFormat="1" x14ac:dyDescent="0.25">
      <c r="B9" s="337" t="s">
        <v>79</v>
      </c>
      <c r="C9" s="338"/>
      <c r="D9" s="338"/>
      <c r="E9" s="339"/>
      <c r="F9" s="4">
        <f>40*199+2000</f>
        <v>9960</v>
      </c>
    </row>
    <row r="10" spans="1:6" s="276" customFormat="1" x14ac:dyDescent="0.25">
      <c r="B10" s="337" t="s">
        <v>80</v>
      </c>
      <c r="C10" s="338"/>
      <c r="D10" s="338"/>
      <c r="E10" s="339"/>
      <c r="F10" s="4">
        <v>1200</v>
      </c>
    </row>
    <row r="11" spans="1:6" s="276" customFormat="1" x14ac:dyDescent="0.25">
      <c r="B11" s="337" t="s">
        <v>81</v>
      </c>
      <c r="C11" s="338"/>
      <c r="D11" s="338"/>
      <c r="E11" s="339"/>
      <c r="F11" s="4">
        <f>5*406+1500</f>
        <v>3530</v>
      </c>
    </row>
    <row r="12" spans="1:6" s="276" customFormat="1" x14ac:dyDescent="0.25">
      <c r="B12" s="337" t="s">
        <v>82</v>
      </c>
      <c r="C12" s="338"/>
      <c r="D12" s="338"/>
      <c r="E12" s="339"/>
      <c r="F12" s="4">
        <f>719*11</f>
        <v>7909</v>
      </c>
    </row>
    <row r="13" spans="1:6" s="276" customFormat="1" x14ac:dyDescent="0.25">
      <c r="B13" s="337" t="s">
        <v>83</v>
      </c>
      <c r="C13" s="338"/>
      <c r="D13" s="338"/>
      <c r="E13" s="339"/>
      <c r="F13" s="4">
        <v>5000</v>
      </c>
    </row>
    <row r="14" spans="1:6" s="276" customFormat="1" ht="15" customHeight="1" x14ac:dyDescent="0.25">
      <c r="B14" s="337" t="s">
        <v>84</v>
      </c>
      <c r="C14" s="338"/>
      <c r="D14" s="338"/>
      <c r="E14" s="339"/>
      <c r="F14" s="4">
        <v>6000</v>
      </c>
    </row>
    <row r="15" spans="1:6" s="276" customFormat="1" x14ac:dyDescent="0.25">
      <c r="B15" s="337" t="s">
        <v>85</v>
      </c>
      <c r="C15" s="338"/>
      <c r="D15" s="338"/>
      <c r="E15" s="339"/>
      <c r="F15" s="4">
        <v>12000</v>
      </c>
    </row>
    <row r="16" spans="1:6" s="276" customFormat="1" x14ac:dyDescent="0.25">
      <c r="B16" s="337" t="s">
        <v>86</v>
      </c>
      <c r="C16" s="338"/>
      <c r="D16" s="338"/>
      <c r="E16" s="339"/>
      <c r="F16" s="4">
        <v>300</v>
      </c>
    </row>
    <row r="17" spans="2:6" s="276" customFormat="1" x14ac:dyDescent="0.25">
      <c r="B17" s="5" t="s">
        <v>9</v>
      </c>
      <c r="C17" s="6"/>
      <c r="D17" s="6"/>
      <c r="E17" s="7"/>
      <c r="F17" s="8">
        <f>SUM(F9:F16)</f>
        <v>45899</v>
      </c>
    </row>
    <row r="18" spans="2:6" s="276" customFormat="1" x14ac:dyDescent="0.25">
      <c r="C18" s="9" t="s">
        <v>87</v>
      </c>
      <c r="D18" s="10">
        <v>40</v>
      </c>
      <c r="E18" s="11" t="s">
        <v>88</v>
      </c>
      <c r="F18" s="284"/>
    </row>
    <row r="19" spans="2:6" s="276" customFormat="1" x14ac:dyDescent="0.25">
      <c r="B19" s="281"/>
      <c r="C19" s="281"/>
      <c r="D19" s="281"/>
      <c r="E19" s="279"/>
      <c r="F19" s="281"/>
    </row>
    <row r="20" spans="2:6" s="276" customFormat="1" x14ac:dyDescent="0.25">
      <c r="B20" s="2" t="s">
        <v>89</v>
      </c>
      <c r="C20" s="281"/>
      <c r="D20" s="281"/>
      <c r="E20" s="279"/>
      <c r="F20" s="281"/>
    </row>
    <row r="21" spans="2:6" s="276" customFormat="1" x14ac:dyDescent="0.25">
      <c r="B21" s="281"/>
      <c r="C21" s="281"/>
      <c r="D21" s="281"/>
      <c r="E21" s="279"/>
      <c r="F21" s="281"/>
    </row>
    <row r="22" spans="2:6" s="276" customFormat="1" ht="15" customHeight="1" x14ac:dyDescent="0.25">
      <c r="B22" s="340" t="s">
        <v>90</v>
      </c>
      <c r="C22" s="345"/>
      <c r="D22" s="345"/>
      <c r="E22" s="346"/>
      <c r="F22" s="281"/>
    </row>
    <row r="23" spans="2:6" s="276" customFormat="1" x14ac:dyDescent="0.25">
      <c r="B23" s="12" t="s">
        <v>91</v>
      </c>
      <c r="C23" s="12" t="s">
        <v>92</v>
      </c>
      <c r="D23" s="13" t="s">
        <v>93</v>
      </c>
      <c r="E23" s="14" t="s">
        <v>78</v>
      </c>
      <c r="F23" s="281"/>
    </row>
    <row r="24" spans="2:6" s="276" customFormat="1" ht="17.399999999999999" x14ac:dyDescent="0.3">
      <c r="B24" s="15" t="s">
        <v>94</v>
      </c>
      <c r="C24" s="16"/>
      <c r="D24" s="17"/>
      <c r="E24" s="18"/>
      <c r="F24" s="281"/>
    </row>
    <row r="25" spans="2:6" s="276" customFormat="1" x14ac:dyDescent="0.25">
      <c r="B25" s="19" t="s">
        <v>95</v>
      </c>
      <c r="C25" s="20">
        <v>0</v>
      </c>
      <c r="D25" s="21">
        <v>0</v>
      </c>
      <c r="E25" s="22">
        <f t="shared" ref="E25:E45" si="0">+D25*C25</f>
        <v>0</v>
      </c>
      <c r="F25" s="281"/>
    </row>
    <row r="26" spans="2:6" s="276" customFormat="1" x14ac:dyDescent="0.25">
      <c r="B26" s="19" t="s">
        <v>96</v>
      </c>
      <c r="C26" s="20">
        <v>0</v>
      </c>
      <c r="D26" s="21">
        <v>0</v>
      </c>
      <c r="E26" s="22">
        <f t="shared" si="0"/>
        <v>0</v>
      </c>
      <c r="F26" s="281"/>
    </row>
    <row r="27" spans="2:6" s="276" customFormat="1" x14ac:dyDescent="0.25">
      <c r="B27" s="19" t="s">
        <v>58</v>
      </c>
      <c r="C27" s="20"/>
      <c r="D27" s="21"/>
      <c r="E27" s="22">
        <f>SUM(E28:E31)</f>
        <v>44000</v>
      </c>
      <c r="F27" s="281"/>
    </row>
    <row r="28" spans="2:6" s="276" customFormat="1" x14ac:dyDescent="0.25">
      <c r="B28" s="23" t="s">
        <v>97</v>
      </c>
      <c r="C28" s="20">
        <v>13</v>
      </c>
      <c r="D28" s="21">
        <v>800</v>
      </c>
      <c r="E28" s="24">
        <f t="shared" si="0"/>
        <v>10400</v>
      </c>
      <c r="F28" s="281"/>
    </row>
    <row r="29" spans="2:6" s="276" customFormat="1" x14ac:dyDescent="0.25">
      <c r="B29" s="23" t="s">
        <v>98</v>
      </c>
      <c r="C29" s="20">
        <v>1</v>
      </c>
      <c r="D29" s="21">
        <v>2100</v>
      </c>
      <c r="E29" s="24">
        <f>+D29*C29</f>
        <v>2100</v>
      </c>
      <c r="F29" s="281"/>
    </row>
    <row r="30" spans="2:6" s="276" customFormat="1" x14ac:dyDescent="0.25">
      <c r="B30" s="23" t="s">
        <v>99</v>
      </c>
      <c r="C30" s="20">
        <v>25</v>
      </c>
      <c r="D30" s="21">
        <v>1200</v>
      </c>
      <c r="E30" s="24">
        <f t="shared" si="0"/>
        <v>30000</v>
      </c>
      <c r="F30" s="281"/>
    </row>
    <row r="31" spans="2:6" s="276" customFormat="1" x14ac:dyDescent="0.25">
      <c r="B31" s="23" t="s">
        <v>100</v>
      </c>
      <c r="C31" s="20">
        <v>1</v>
      </c>
      <c r="D31" s="21">
        <v>1500</v>
      </c>
      <c r="E31" s="24">
        <f t="shared" si="0"/>
        <v>1500</v>
      </c>
      <c r="F31" s="281"/>
    </row>
    <row r="32" spans="2:6" s="276" customFormat="1" x14ac:dyDescent="0.25">
      <c r="B32" s="19" t="s">
        <v>63</v>
      </c>
      <c r="C32" s="20"/>
      <c r="D32" s="21"/>
      <c r="E32" s="22">
        <f>SUM(E33:E37)</f>
        <v>230000</v>
      </c>
      <c r="F32" s="281"/>
    </row>
    <row r="33" spans="2:6" s="276" customFormat="1" x14ac:dyDescent="0.25">
      <c r="B33" s="23" t="s">
        <v>101</v>
      </c>
      <c r="C33" s="20">
        <v>13</v>
      </c>
      <c r="D33" s="21">
        <v>15000</v>
      </c>
      <c r="E33" s="24">
        <f t="shared" si="0"/>
        <v>195000</v>
      </c>
      <c r="F33" s="281"/>
    </row>
    <row r="34" spans="2:6" s="276" customFormat="1" x14ac:dyDescent="0.25">
      <c r="B34" s="23" t="s">
        <v>102</v>
      </c>
      <c r="C34" s="20">
        <v>2</v>
      </c>
      <c r="D34" s="21">
        <v>5000</v>
      </c>
      <c r="E34" s="24">
        <f t="shared" si="0"/>
        <v>10000</v>
      </c>
      <c r="F34" s="281"/>
    </row>
    <row r="35" spans="2:6" s="276" customFormat="1" x14ac:dyDescent="0.25">
      <c r="B35" s="23" t="s">
        <v>103</v>
      </c>
      <c r="C35" s="20">
        <v>1</v>
      </c>
      <c r="D35" s="21">
        <v>25000</v>
      </c>
      <c r="E35" s="24">
        <f>+D35*C35</f>
        <v>25000</v>
      </c>
      <c r="F35" s="281"/>
    </row>
    <row r="36" spans="2:6" s="276" customFormat="1" x14ac:dyDescent="0.25">
      <c r="B36" s="23" t="s">
        <v>104</v>
      </c>
      <c r="C36" s="20">
        <v>0</v>
      </c>
      <c r="D36" s="21">
        <v>0</v>
      </c>
      <c r="E36" s="24">
        <f t="shared" si="0"/>
        <v>0</v>
      </c>
      <c r="F36" s="281"/>
    </row>
    <row r="37" spans="2:6" s="276" customFormat="1" x14ac:dyDescent="0.25">
      <c r="B37" s="23" t="s">
        <v>105</v>
      </c>
      <c r="C37" s="20">
        <v>0</v>
      </c>
      <c r="D37" s="21">
        <v>0</v>
      </c>
      <c r="E37" s="24">
        <f t="shared" si="0"/>
        <v>0</v>
      </c>
      <c r="F37" s="281"/>
    </row>
    <row r="38" spans="2:6" s="276" customFormat="1" x14ac:dyDescent="0.25">
      <c r="B38" s="19" t="s">
        <v>106</v>
      </c>
      <c r="C38" s="20"/>
      <c r="D38" s="21"/>
      <c r="E38" s="22">
        <f>SUM(E39:E41)</f>
        <v>0</v>
      </c>
      <c r="F38" s="281"/>
    </row>
    <row r="39" spans="2:6" s="276" customFormat="1" x14ac:dyDescent="0.25">
      <c r="B39" s="23" t="s">
        <v>107</v>
      </c>
      <c r="C39" s="20">
        <v>0</v>
      </c>
      <c r="D39" s="21">
        <v>0</v>
      </c>
      <c r="E39" s="24">
        <f t="shared" si="0"/>
        <v>0</v>
      </c>
      <c r="F39" s="281"/>
    </row>
    <row r="40" spans="2:6" s="276" customFormat="1" x14ac:dyDescent="0.25">
      <c r="B40" s="23" t="s">
        <v>108</v>
      </c>
      <c r="C40" s="20">
        <v>0</v>
      </c>
      <c r="D40" s="21">
        <v>0</v>
      </c>
      <c r="E40" s="24">
        <f t="shared" si="0"/>
        <v>0</v>
      </c>
      <c r="F40" s="281"/>
    </row>
    <row r="41" spans="2:6" s="276" customFormat="1" x14ac:dyDescent="0.25">
      <c r="B41" s="23" t="s">
        <v>109</v>
      </c>
      <c r="C41" s="20">
        <v>0</v>
      </c>
      <c r="D41" s="21">
        <v>0</v>
      </c>
      <c r="E41" s="24">
        <f t="shared" si="0"/>
        <v>0</v>
      </c>
      <c r="F41" s="281"/>
    </row>
    <row r="42" spans="2:6" s="276" customFormat="1" x14ac:dyDescent="0.25">
      <c r="B42" s="19" t="s">
        <v>110</v>
      </c>
      <c r="C42" s="20"/>
      <c r="D42" s="21"/>
      <c r="E42" s="22">
        <f>SUM(E43:E45)</f>
        <v>0</v>
      </c>
      <c r="F42" s="281"/>
    </row>
    <row r="43" spans="2:6" s="276" customFormat="1" x14ac:dyDescent="0.25">
      <c r="B43" s="23" t="s">
        <v>111</v>
      </c>
      <c r="C43" s="20">
        <v>0</v>
      </c>
      <c r="D43" s="21">
        <v>0</v>
      </c>
      <c r="E43" s="24">
        <f t="shared" si="0"/>
        <v>0</v>
      </c>
      <c r="F43" s="281"/>
    </row>
    <row r="44" spans="2:6" s="276" customFormat="1" x14ac:dyDescent="0.25">
      <c r="B44" s="23" t="s">
        <v>112</v>
      </c>
      <c r="C44" s="20">
        <v>0</v>
      </c>
      <c r="D44" s="21">
        <v>0</v>
      </c>
      <c r="E44" s="24">
        <f t="shared" si="0"/>
        <v>0</v>
      </c>
      <c r="F44" s="281"/>
    </row>
    <row r="45" spans="2:6" s="276" customFormat="1" x14ac:dyDescent="0.25">
      <c r="B45" s="23" t="s">
        <v>113</v>
      </c>
      <c r="C45" s="20">
        <v>0</v>
      </c>
      <c r="D45" s="21">
        <v>0</v>
      </c>
      <c r="E45" s="24">
        <f t="shared" si="0"/>
        <v>0</v>
      </c>
      <c r="F45" s="281"/>
    </row>
    <row r="46" spans="2:6" s="276" customFormat="1" x14ac:dyDescent="0.25">
      <c r="B46" s="282"/>
      <c r="C46" s="283"/>
      <c r="D46" s="283"/>
      <c r="E46" s="25">
        <f>+E25+E26+E27+E32+E38+E42</f>
        <v>274000</v>
      </c>
    </row>
    <row r="47" spans="2:6" s="276" customFormat="1" x14ac:dyDescent="0.25">
      <c r="E47" s="278"/>
    </row>
    <row r="48" spans="2:6" s="276" customFormat="1" x14ac:dyDescent="0.25">
      <c r="B48" s="2" t="s">
        <v>114</v>
      </c>
      <c r="C48" s="281"/>
      <c r="D48" s="281"/>
      <c r="E48" s="279"/>
    </row>
    <row r="49" spans="2:7" s="276" customFormat="1" x14ac:dyDescent="0.25">
      <c r="B49" s="281"/>
      <c r="C49" s="281"/>
      <c r="D49" s="281"/>
      <c r="E49" s="279"/>
    </row>
    <row r="50" spans="2:7" s="276" customFormat="1" ht="15" customHeight="1" x14ac:dyDescent="0.25">
      <c r="B50" s="340" t="s">
        <v>115</v>
      </c>
      <c r="C50" s="341"/>
      <c r="D50" s="341"/>
      <c r="E50" s="347"/>
    </row>
    <row r="51" spans="2:7" s="276" customFormat="1" x14ac:dyDescent="0.25">
      <c r="B51" s="3" t="s">
        <v>91</v>
      </c>
      <c r="C51" s="3" t="s">
        <v>116</v>
      </c>
      <c r="D51" s="3" t="s">
        <v>117</v>
      </c>
      <c r="E51" s="14" t="s">
        <v>78</v>
      </c>
    </row>
    <row r="52" spans="2:7" s="276" customFormat="1" x14ac:dyDescent="0.25">
      <c r="B52" s="264" t="s">
        <v>118</v>
      </c>
      <c r="C52" s="27">
        <v>30000</v>
      </c>
      <c r="D52" s="28">
        <v>1</v>
      </c>
      <c r="E52" s="24">
        <f>C52*D52</f>
        <v>30000</v>
      </c>
    </row>
    <row r="53" spans="2:7" s="276" customFormat="1" ht="26.4" x14ac:dyDescent="0.25">
      <c r="B53" s="26" t="s">
        <v>119</v>
      </c>
      <c r="C53" s="27">
        <v>30000</v>
      </c>
      <c r="D53" s="28">
        <v>2</v>
      </c>
      <c r="E53" s="24">
        <f t="shared" ref="E53:E67" si="1">C53*D53</f>
        <v>60000</v>
      </c>
    </row>
    <row r="54" spans="2:7" s="276" customFormat="1" x14ac:dyDescent="0.25">
      <c r="B54" s="264" t="s">
        <v>120</v>
      </c>
      <c r="C54" s="27">
        <v>1500</v>
      </c>
      <c r="D54" s="28">
        <v>2</v>
      </c>
      <c r="E54" s="24">
        <f>C54*D54</f>
        <v>3000</v>
      </c>
    </row>
    <row r="55" spans="2:7" s="276" customFormat="1" ht="26.4" x14ac:dyDescent="0.25">
      <c r="B55" s="26" t="s">
        <v>121</v>
      </c>
      <c r="C55" s="27">
        <v>1343</v>
      </c>
      <c r="D55" s="28">
        <v>1</v>
      </c>
      <c r="E55" s="24">
        <f>C55*D55</f>
        <v>1343</v>
      </c>
    </row>
    <row r="56" spans="2:7" s="276" customFormat="1" x14ac:dyDescent="0.25">
      <c r="B56" s="264" t="s">
        <v>122</v>
      </c>
      <c r="C56" s="27">
        <v>12300</v>
      </c>
      <c r="D56" s="28">
        <v>1</v>
      </c>
      <c r="E56" s="24">
        <f t="shared" si="1"/>
        <v>12300</v>
      </c>
    </row>
    <row r="57" spans="2:7" s="276" customFormat="1" x14ac:dyDescent="0.25">
      <c r="B57" s="264" t="s">
        <v>123</v>
      </c>
      <c r="C57" s="27">
        <v>1500</v>
      </c>
      <c r="D57" s="28">
        <v>1</v>
      </c>
      <c r="E57" s="24">
        <f t="shared" si="1"/>
        <v>1500</v>
      </c>
    </row>
    <row r="58" spans="2:7" s="276" customFormat="1" x14ac:dyDescent="0.25">
      <c r="B58" s="264" t="s">
        <v>124</v>
      </c>
      <c r="C58" s="27">
        <v>0</v>
      </c>
      <c r="D58" s="28"/>
      <c r="E58" s="24">
        <f t="shared" si="1"/>
        <v>0</v>
      </c>
    </row>
    <row r="59" spans="2:7" s="276" customFormat="1" x14ac:dyDescent="0.25">
      <c r="B59" s="264" t="s">
        <v>125</v>
      </c>
      <c r="C59" s="27">
        <v>0</v>
      </c>
      <c r="D59" s="28"/>
      <c r="E59" s="24">
        <f t="shared" si="1"/>
        <v>0</v>
      </c>
      <c r="G59" s="280"/>
    </row>
    <row r="60" spans="2:7" s="276" customFormat="1" x14ac:dyDescent="0.25">
      <c r="B60" s="36" t="s">
        <v>126</v>
      </c>
      <c r="C60" s="27">
        <v>1000</v>
      </c>
      <c r="D60" s="28">
        <v>1</v>
      </c>
      <c r="E60" s="24">
        <f t="shared" si="1"/>
        <v>1000</v>
      </c>
    </row>
    <row r="61" spans="2:7" s="276" customFormat="1" x14ac:dyDescent="0.25">
      <c r="B61" s="264" t="s">
        <v>127</v>
      </c>
      <c r="C61" s="27">
        <v>3000</v>
      </c>
      <c r="D61" s="28">
        <v>1</v>
      </c>
      <c r="E61" s="24">
        <f t="shared" si="1"/>
        <v>3000</v>
      </c>
    </row>
    <row r="62" spans="2:7" s="276" customFormat="1" x14ac:dyDescent="0.25">
      <c r="B62" s="264" t="s">
        <v>128</v>
      </c>
      <c r="C62" s="27">
        <v>5000</v>
      </c>
      <c r="D62" s="28">
        <v>1</v>
      </c>
      <c r="E62" s="24">
        <f t="shared" si="1"/>
        <v>5000</v>
      </c>
    </row>
    <row r="63" spans="2:7" s="276" customFormat="1" x14ac:dyDescent="0.25">
      <c r="B63" s="29" t="s">
        <v>129</v>
      </c>
      <c r="C63" s="27"/>
      <c r="D63" s="28"/>
      <c r="E63" s="24">
        <f t="shared" si="1"/>
        <v>0</v>
      </c>
    </row>
    <row r="64" spans="2:7" s="276" customFormat="1" ht="26.4" x14ac:dyDescent="0.25">
      <c r="B64" s="26" t="s">
        <v>130</v>
      </c>
      <c r="C64" s="58">
        <f>SUM(Remuneraciones!G3:G18)</f>
        <v>236250</v>
      </c>
      <c r="D64" s="28">
        <v>2</v>
      </c>
      <c r="E64" s="24">
        <f t="shared" si="1"/>
        <v>472500</v>
      </c>
    </row>
    <row r="65" spans="2:7" s="276" customFormat="1" x14ac:dyDescent="0.25">
      <c r="B65" s="264" t="s">
        <v>131</v>
      </c>
      <c r="C65" s="27">
        <v>0</v>
      </c>
      <c r="D65" s="28">
        <v>2</v>
      </c>
      <c r="E65" s="24">
        <f t="shared" si="1"/>
        <v>0</v>
      </c>
    </row>
    <row r="66" spans="2:7" s="276" customFormat="1" x14ac:dyDescent="0.25">
      <c r="B66" s="264" t="s">
        <v>132</v>
      </c>
      <c r="C66" s="58">
        <f>Financiamiento!G6+Financiamiento!G7</f>
        <v>35863.338756473022</v>
      </c>
      <c r="D66" s="28">
        <v>1</v>
      </c>
      <c r="E66" s="24">
        <f>C66*D66</f>
        <v>35863.338756473022</v>
      </c>
    </row>
    <row r="67" spans="2:7" s="276" customFormat="1" x14ac:dyDescent="0.25">
      <c r="B67" s="264" t="s">
        <v>133</v>
      </c>
      <c r="C67" s="58">
        <f>Financiamiento!E6+Financiamiento!E7</f>
        <v>17021.675437274331</v>
      </c>
      <c r="D67" s="28">
        <v>1</v>
      </c>
      <c r="E67" s="24">
        <f t="shared" si="1"/>
        <v>17021.675437274331</v>
      </c>
    </row>
    <row r="68" spans="2:7" s="276" customFormat="1" x14ac:dyDescent="0.25">
      <c r="B68" s="264" t="s">
        <v>134</v>
      </c>
      <c r="C68" s="27"/>
      <c r="D68" s="28"/>
      <c r="E68" s="30">
        <f>SUM(E52:E65)</f>
        <v>589643</v>
      </c>
      <c r="F68" s="280"/>
      <c r="G68" s="280"/>
    </row>
    <row r="69" spans="2:7" s="276" customFormat="1" x14ac:dyDescent="0.25">
      <c r="B69" s="264" t="s">
        <v>9</v>
      </c>
      <c r="C69" s="27"/>
      <c r="D69" s="28"/>
      <c r="E69" s="30">
        <f>SUM(E52:E67)</f>
        <v>642528.01419374743</v>
      </c>
      <c r="F69" s="280"/>
    </row>
    <row r="70" spans="2:7" s="276" customFormat="1" x14ac:dyDescent="0.25">
      <c r="B70" s="2" t="s">
        <v>135</v>
      </c>
      <c r="C70" s="281"/>
      <c r="D70" s="281"/>
      <c r="E70" s="279"/>
      <c r="F70" s="280"/>
    </row>
    <row r="71" spans="2:7" s="276" customFormat="1" x14ac:dyDescent="0.25">
      <c r="B71" s="281"/>
      <c r="C71" s="281"/>
      <c r="D71" s="281"/>
      <c r="E71" s="279"/>
    </row>
    <row r="72" spans="2:7" s="276" customFormat="1" ht="15" customHeight="1" x14ac:dyDescent="0.25">
      <c r="B72" s="340" t="s">
        <v>136</v>
      </c>
      <c r="C72" s="348"/>
      <c r="D72" s="349"/>
      <c r="E72" s="279"/>
    </row>
    <row r="73" spans="2:7" s="276" customFormat="1" x14ac:dyDescent="0.25">
      <c r="B73" s="31" t="s">
        <v>137</v>
      </c>
      <c r="C73" s="32"/>
      <c r="D73" s="4">
        <f>+F17</f>
        <v>45899</v>
      </c>
      <c r="E73" s="279"/>
    </row>
    <row r="74" spans="2:7" s="276" customFormat="1" x14ac:dyDescent="0.25">
      <c r="B74" s="31" t="s">
        <v>138</v>
      </c>
      <c r="C74" s="33"/>
      <c r="D74" s="4">
        <f>+E46</f>
        <v>274000</v>
      </c>
      <c r="E74" s="279"/>
    </row>
    <row r="75" spans="2:7" s="276" customFormat="1" x14ac:dyDescent="0.25">
      <c r="B75" s="31" t="s">
        <v>139</v>
      </c>
      <c r="C75" s="34"/>
      <c r="D75" s="4">
        <f>E68</f>
        <v>589643</v>
      </c>
      <c r="E75" s="279"/>
      <c r="F75" s="280"/>
    </row>
    <row r="76" spans="2:7" s="276" customFormat="1" x14ac:dyDescent="0.25">
      <c r="B76" s="31" t="s">
        <v>140</v>
      </c>
      <c r="C76" s="34"/>
      <c r="D76" s="251">
        <f>D77+E66+E67-D79</f>
        <v>572427.01419374743</v>
      </c>
      <c r="E76" s="279"/>
    </row>
    <row r="77" spans="2:7" s="276" customFormat="1" x14ac:dyDescent="0.25">
      <c r="B77" s="5" t="s">
        <v>141</v>
      </c>
      <c r="C77" s="35"/>
      <c r="D77" s="8">
        <f>SUM(D73:D75)</f>
        <v>909542</v>
      </c>
      <c r="E77" s="279"/>
    </row>
    <row r="78" spans="2:7" s="276" customFormat="1" x14ac:dyDescent="0.25">
      <c r="E78" s="278"/>
    </row>
    <row r="79" spans="2:7" s="276" customFormat="1" x14ac:dyDescent="0.25">
      <c r="B79" s="1" t="s">
        <v>142</v>
      </c>
      <c r="C79" s="1"/>
      <c r="D79" s="86">
        <f>'Capital  Social'!E9</f>
        <v>390000</v>
      </c>
      <c r="E79" s="278"/>
    </row>
    <row r="80" spans="2:7" s="276" customFormat="1" x14ac:dyDescent="0.25">
      <c r="B80" s="1" t="s">
        <v>143</v>
      </c>
      <c r="C80" s="1"/>
      <c r="D80" s="271">
        <f>E66+E67</f>
        <v>52885.014193747353</v>
      </c>
      <c r="E80" s="278"/>
    </row>
    <row r="81" spans="2:22" s="276" customFormat="1" x14ac:dyDescent="0.25">
      <c r="B81" s="1" t="s">
        <v>144</v>
      </c>
      <c r="C81" s="1"/>
      <c r="D81" s="4">
        <f>+D77-D79</f>
        <v>519542</v>
      </c>
      <c r="E81" s="278"/>
    </row>
    <row r="82" spans="2:22" s="276" customFormat="1" x14ac:dyDescent="0.25">
      <c r="E82" s="278"/>
    </row>
    <row r="83" spans="2:22" x14ac:dyDescent="0.25">
      <c r="E83" s="285"/>
      <c r="Q83" s="1"/>
      <c r="R83" s="1"/>
      <c r="S83" s="1"/>
      <c r="T83" s="1"/>
      <c r="U83" s="1"/>
      <c r="V83" s="1"/>
    </row>
    <row r="84" spans="2:22" x14ac:dyDescent="0.25">
      <c r="C84" s="286"/>
      <c r="Q84" s="1"/>
      <c r="R84" s="1"/>
      <c r="S84" s="1"/>
      <c r="T84" s="1"/>
      <c r="U84" s="1"/>
      <c r="V84" s="1"/>
    </row>
    <row r="85" spans="2:22" x14ac:dyDescent="0.25">
      <c r="Q85" s="1"/>
      <c r="R85" s="1"/>
      <c r="S85" s="1"/>
      <c r="T85" s="1"/>
      <c r="U85" s="1"/>
      <c r="V85" s="1"/>
    </row>
    <row r="86" spans="2:22" x14ac:dyDescent="0.25">
      <c r="Q86" s="1"/>
      <c r="R86" s="1"/>
      <c r="S86" s="1"/>
      <c r="T86" s="1"/>
      <c r="U86" s="1"/>
      <c r="V86" s="1"/>
    </row>
    <row r="87" spans="2:22" x14ac:dyDescent="0.25">
      <c r="Q87" s="1"/>
      <c r="R87" s="1"/>
      <c r="S87" s="1"/>
      <c r="T87" s="1"/>
      <c r="U87" s="1"/>
      <c r="V87" s="1"/>
    </row>
    <row r="88" spans="2:22" x14ac:dyDescent="0.25">
      <c r="Q88" s="1"/>
      <c r="R88" s="1"/>
      <c r="S88" s="1"/>
      <c r="T88" s="1"/>
      <c r="U88" s="1"/>
      <c r="V88" s="1"/>
    </row>
    <row r="89" spans="2:22" x14ac:dyDescent="0.25">
      <c r="Q89" s="1"/>
      <c r="R89" s="1"/>
      <c r="S89" s="1"/>
      <c r="T89" s="1"/>
      <c r="U89" s="1"/>
      <c r="V89" s="1"/>
    </row>
    <row r="90" spans="2:22" x14ac:dyDescent="0.25">
      <c r="Q90" s="1"/>
      <c r="R90" s="1"/>
      <c r="S90" s="1"/>
      <c r="T90" s="1"/>
      <c r="U90" s="1"/>
      <c r="V90" s="1"/>
    </row>
    <row r="91" spans="2:22" x14ac:dyDescent="0.25">
      <c r="Q91" s="1"/>
      <c r="R91" s="1"/>
      <c r="S91" s="1"/>
      <c r="T91" s="1"/>
      <c r="U91" s="1"/>
      <c r="V91" s="1"/>
    </row>
    <row r="92" spans="2:22" x14ac:dyDescent="0.25">
      <c r="Q92" s="1"/>
      <c r="R92" s="1"/>
      <c r="S92" s="1"/>
      <c r="T92" s="1"/>
      <c r="U92" s="1"/>
      <c r="V92" s="1"/>
    </row>
    <row r="93" spans="2:22" x14ac:dyDescent="0.25">
      <c r="Q93" s="1"/>
      <c r="R93" s="1"/>
      <c r="S93" s="1"/>
      <c r="T93" s="1"/>
      <c r="U93" s="1"/>
      <c r="V93" s="1"/>
    </row>
    <row r="94" spans="2:22" x14ac:dyDescent="0.25">
      <c r="Q94" s="1"/>
      <c r="R94" s="1"/>
      <c r="S94" s="1"/>
      <c r="T94" s="1"/>
      <c r="U94" s="1"/>
      <c r="V94" s="1"/>
    </row>
    <row r="95" spans="2:22" x14ac:dyDescent="0.25">
      <c r="Q95" s="1"/>
      <c r="R95" s="1"/>
      <c r="S95" s="1"/>
      <c r="T95" s="1"/>
      <c r="U95" s="1"/>
      <c r="V95" s="1"/>
    </row>
    <row r="96" spans="2:22" x14ac:dyDescent="0.25">
      <c r="Q96" s="1"/>
      <c r="R96" s="1"/>
      <c r="S96" s="1"/>
      <c r="T96" s="1"/>
      <c r="U96" s="1"/>
      <c r="V96" s="1"/>
    </row>
    <row r="97" spans="17:22" x14ac:dyDescent="0.25">
      <c r="Q97" s="1"/>
      <c r="R97" s="1"/>
      <c r="S97" s="1"/>
      <c r="T97" s="1"/>
      <c r="U97" s="1"/>
      <c r="V97" s="1"/>
    </row>
    <row r="98" spans="17:22" x14ac:dyDescent="0.25">
      <c r="Q98" s="1"/>
      <c r="R98" s="1"/>
      <c r="S98" s="1"/>
      <c r="T98" s="1"/>
      <c r="U98" s="1"/>
      <c r="V98" s="1"/>
    </row>
    <row r="99" spans="17:22" x14ac:dyDescent="0.25">
      <c r="Q99" s="1"/>
      <c r="R99" s="1"/>
      <c r="S99" s="1"/>
      <c r="T99" s="1"/>
      <c r="U99" s="1"/>
      <c r="V99" s="1"/>
    </row>
    <row r="100" spans="17:22" x14ac:dyDescent="0.25">
      <c r="Q100" s="1"/>
      <c r="R100" s="1"/>
      <c r="S100" s="1"/>
      <c r="T100" s="1"/>
      <c r="U100" s="1"/>
      <c r="V100" s="1"/>
    </row>
    <row r="101" spans="17:22" x14ac:dyDescent="0.25">
      <c r="Q101" s="1"/>
      <c r="R101" s="1"/>
      <c r="S101" s="1"/>
      <c r="T101" s="1"/>
      <c r="U101" s="1"/>
      <c r="V101" s="1"/>
    </row>
    <row r="102" spans="17:22" x14ac:dyDescent="0.25">
      <c r="Q102" s="1"/>
      <c r="R102" s="1"/>
      <c r="S102" s="1"/>
      <c r="T102" s="1"/>
      <c r="U102" s="1"/>
      <c r="V102" s="1"/>
    </row>
    <row r="103" spans="17:22" x14ac:dyDescent="0.25">
      <c r="Q103" s="1"/>
      <c r="R103" s="1"/>
      <c r="S103" s="1"/>
      <c r="T103" s="1"/>
      <c r="U103" s="1"/>
      <c r="V103" s="1"/>
    </row>
    <row r="104" spans="17:22" x14ac:dyDescent="0.25">
      <c r="Q104" s="1"/>
      <c r="R104" s="1"/>
      <c r="S104" s="1"/>
      <c r="T104" s="1"/>
      <c r="U104" s="1"/>
      <c r="V104" s="1"/>
    </row>
    <row r="105" spans="17:22" x14ac:dyDescent="0.25">
      <c r="Q105" s="1"/>
      <c r="R105" s="1"/>
      <c r="S105" s="1"/>
      <c r="T105" s="1"/>
      <c r="U105" s="1"/>
      <c r="V105" s="1"/>
    </row>
    <row r="106" spans="17:22" x14ac:dyDescent="0.25">
      <c r="Q106" s="1"/>
      <c r="R106" s="1"/>
      <c r="S106" s="1"/>
      <c r="T106" s="1"/>
      <c r="U106" s="1"/>
      <c r="V106" s="1"/>
    </row>
    <row r="107" spans="17:22" x14ac:dyDescent="0.25">
      <c r="Q107" s="1"/>
      <c r="R107" s="1"/>
      <c r="S107" s="1"/>
      <c r="T107" s="1"/>
      <c r="U107" s="1"/>
      <c r="V107" s="1"/>
    </row>
    <row r="108" spans="17:22" x14ac:dyDescent="0.25">
      <c r="Q108" s="1"/>
      <c r="R108" s="1"/>
      <c r="S108" s="1"/>
      <c r="T108" s="1"/>
      <c r="U108" s="1"/>
      <c r="V108" s="1"/>
    </row>
    <row r="109" spans="17:22" x14ac:dyDescent="0.25">
      <c r="Q109" s="1"/>
      <c r="R109" s="1"/>
      <c r="S109" s="1"/>
      <c r="T109" s="1"/>
      <c r="U109" s="1"/>
      <c r="V109" s="1"/>
    </row>
    <row r="110" spans="17:22" x14ac:dyDescent="0.25">
      <c r="Q110" s="1"/>
      <c r="R110" s="1"/>
      <c r="S110" s="1"/>
      <c r="T110" s="1"/>
      <c r="U110" s="1"/>
      <c r="V110" s="1"/>
    </row>
    <row r="111" spans="17:22" x14ac:dyDescent="0.25">
      <c r="Q111" s="1"/>
      <c r="R111" s="1"/>
      <c r="S111" s="1"/>
      <c r="T111" s="1"/>
      <c r="U111" s="1"/>
      <c r="V111" s="1"/>
    </row>
    <row r="112" spans="17:22" x14ac:dyDescent="0.25">
      <c r="Q112" s="1"/>
      <c r="R112" s="1"/>
      <c r="S112" s="1"/>
      <c r="T112" s="1"/>
      <c r="U112" s="1"/>
      <c r="V112" s="1"/>
    </row>
  </sheetData>
  <mergeCells count="15">
    <mergeCell ref="B22:E22"/>
    <mergeCell ref="B50:E50"/>
    <mergeCell ref="B72:D72"/>
    <mergeCell ref="B11:E11"/>
    <mergeCell ref="B12:E12"/>
    <mergeCell ref="B13:E13"/>
    <mergeCell ref="B14:E14"/>
    <mergeCell ref="B15:E15"/>
    <mergeCell ref="B16:E16"/>
    <mergeCell ref="B10:E10"/>
    <mergeCell ref="B7:E7"/>
    <mergeCell ref="B2:F2"/>
    <mergeCell ref="D6:E6"/>
    <mergeCell ref="B8:E8"/>
    <mergeCell ref="B9:E9"/>
  </mergeCells>
  <pageMargins left="0.70866141732283472" right="0.70866141732283472" top="0.74803149606299213" bottom="0.74803149606299213" header="0.31496062992125984" footer="0.31496062992125984"/>
  <pageSetup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C5AB4-ACC9-4046-93BC-F7DFC13DC680}">
  <sheetPr codeName="Hoja2"/>
  <dimension ref="B1:H18"/>
  <sheetViews>
    <sheetView workbookViewId="0"/>
  </sheetViews>
  <sheetFormatPr baseColWidth="10" defaultColWidth="11.54296875" defaultRowHeight="15" x14ac:dyDescent="0.25"/>
  <cols>
    <col min="1" max="2" width="11.54296875" style="291"/>
    <col min="3" max="3" width="12.36328125" style="291" customWidth="1"/>
    <col min="4" max="4" width="14" style="291" customWidth="1"/>
    <col min="5" max="5" width="15.08984375" style="291" customWidth="1"/>
    <col min="6" max="6" width="15.54296875" style="291" customWidth="1"/>
    <col min="7" max="7" width="14.54296875" style="291" customWidth="1"/>
    <col min="8" max="8" width="12.90625" style="291" customWidth="1"/>
    <col min="9" max="16384" width="11.54296875" style="291"/>
  </cols>
  <sheetData>
    <row r="1" spans="2:8" ht="20.25" customHeight="1" x14ac:dyDescent="0.25">
      <c r="B1" s="351" t="s">
        <v>12</v>
      </c>
      <c r="C1" s="351"/>
      <c r="D1" s="351"/>
      <c r="E1" s="351"/>
      <c r="F1" s="351"/>
      <c r="G1" s="351"/>
      <c r="H1" s="351"/>
    </row>
    <row r="2" spans="2:8" ht="46.8" x14ac:dyDescent="0.25">
      <c r="B2" s="46" t="s">
        <v>13</v>
      </c>
      <c r="C2" s="46" t="s">
        <v>14</v>
      </c>
      <c r="D2" s="46" t="s">
        <v>15</v>
      </c>
      <c r="E2" s="46" t="s">
        <v>16</v>
      </c>
      <c r="F2" s="46" t="s">
        <v>17</v>
      </c>
      <c r="G2" s="46" t="s">
        <v>18</v>
      </c>
      <c r="H2" s="46" t="s">
        <v>19</v>
      </c>
    </row>
    <row r="3" spans="2:8" x14ac:dyDescent="0.25">
      <c r="B3" s="352" t="s">
        <v>20</v>
      </c>
      <c r="C3" s="262" t="s">
        <v>21</v>
      </c>
      <c r="D3" s="44">
        <v>1</v>
      </c>
      <c r="E3" s="47">
        <v>21000</v>
      </c>
      <c r="F3" s="48">
        <f t="shared" ref="F3:F18" si="0">E3*0.35</f>
        <v>7349.9999999999991</v>
      </c>
      <c r="G3" s="48">
        <f t="shared" ref="G3:G18" si="1">(F3+E3)*D3</f>
        <v>28350</v>
      </c>
      <c r="H3" s="48">
        <f t="shared" ref="H3:H18" si="2">G3*12</f>
        <v>340200</v>
      </c>
    </row>
    <row r="4" spans="2:8" x14ac:dyDescent="0.25">
      <c r="B4" s="352"/>
      <c r="C4" s="262" t="s">
        <v>22</v>
      </c>
      <c r="D4" s="44">
        <v>1</v>
      </c>
      <c r="E4" s="47">
        <v>8000</v>
      </c>
      <c r="F4" s="48">
        <f t="shared" si="0"/>
        <v>2800</v>
      </c>
      <c r="G4" s="48">
        <f t="shared" si="1"/>
        <v>10800</v>
      </c>
      <c r="H4" s="48">
        <f t="shared" si="2"/>
        <v>129600</v>
      </c>
    </row>
    <row r="5" spans="2:8" x14ac:dyDescent="0.25">
      <c r="B5" s="352"/>
      <c r="C5" s="262" t="s">
        <v>23</v>
      </c>
      <c r="D5" s="44">
        <v>1</v>
      </c>
      <c r="E5" s="47">
        <v>20000</v>
      </c>
      <c r="F5" s="48">
        <f t="shared" si="0"/>
        <v>7000</v>
      </c>
      <c r="G5" s="48">
        <f t="shared" si="1"/>
        <v>27000</v>
      </c>
      <c r="H5" s="48">
        <f t="shared" si="2"/>
        <v>324000</v>
      </c>
    </row>
    <row r="6" spans="2:8" x14ac:dyDescent="0.25">
      <c r="B6" s="350" t="s">
        <v>24</v>
      </c>
      <c r="C6" s="49" t="s">
        <v>25</v>
      </c>
      <c r="D6" s="1">
        <v>3</v>
      </c>
      <c r="E6" s="50">
        <v>9000</v>
      </c>
      <c r="F6" s="51">
        <f t="shared" si="0"/>
        <v>3150</v>
      </c>
      <c r="G6" s="51">
        <f t="shared" si="1"/>
        <v>36450</v>
      </c>
      <c r="H6" s="51">
        <f t="shared" si="2"/>
        <v>437400</v>
      </c>
    </row>
    <row r="7" spans="2:8" x14ac:dyDescent="0.25">
      <c r="B7" s="350"/>
      <c r="C7" s="49" t="s">
        <v>26</v>
      </c>
      <c r="D7" s="1">
        <v>1</v>
      </c>
      <c r="E7" s="50">
        <v>1000</v>
      </c>
      <c r="F7" s="51">
        <f t="shared" si="0"/>
        <v>350</v>
      </c>
      <c r="G7" s="51">
        <f t="shared" si="1"/>
        <v>1350</v>
      </c>
      <c r="H7" s="51">
        <f t="shared" si="2"/>
        <v>16200</v>
      </c>
    </row>
    <row r="8" spans="2:8" x14ac:dyDescent="0.25">
      <c r="B8" s="262" t="s">
        <v>27</v>
      </c>
      <c r="C8" s="262" t="s">
        <v>28</v>
      </c>
      <c r="D8" s="44">
        <v>1</v>
      </c>
      <c r="E8" s="47">
        <v>6000</v>
      </c>
      <c r="F8" s="48">
        <f t="shared" si="0"/>
        <v>2100</v>
      </c>
      <c r="G8" s="48">
        <f t="shared" si="1"/>
        <v>8100</v>
      </c>
      <c r="H8" s="48">
        <f t="shared" si="2"/>
        <v>97200</v>
      </c>
    </row>
    <row r="9" spans="2:8" ht="30" x14ac:dyDescent="0.25">
      <c r="B9" s="260" t="s">
        <v>29</v>
      </c>
      <c r="C9" s="49" t="s">
        <v>28</v>
      </c>
      <c r="D9" s="1">
        <v>1</v>
      </c>
      <c r="E9" s="50">
        <v>6000</v>
      </c>
      <c r="F9" s="51">
        <f t="shared" si="0"/>
        <v>2100</v>
      </c>
      <c r="G9" s="51">
        <f t="shared" si="1"/>
        <v>8100</v>
      </c>
      <c r="H9" s="51">
        <f t="shared" si="2"/>
        <v>97200</v>
      </c>
    </row>
    <row r="10" spans="2:8" x14ac:dyDescent="0.25">
      <c r="B10" s="352" t="s">
        <v>30</v>
      </c>
      <c r="C10" s="262" t="s">
        <v>31</v>
      </c>
      <c r="D10" s="44">
        <v>1</v>
      </c>
      <c r="E10" s="47">
        <v>10000</v>
      </c>
      <c r="F10" s="48">
        <f t="shared" si="0"/>
        <v>3500</v>
      </c>
      <c r="G10" s="48">
        <f t="shared" si="1"/>
        <v>13500</v>
      </c>
      <c r="H10" s="48">
        <f t="shared" si="2"/>
        <v>162000</v>
      </c>
    </row>
    <row r="11" spans="2:8" x14ac:dyDescent="0.25">
      <c r="B11" s="352"/>
      <c r="C11" s="262" t="s">
        <v>32</v>
      </c>
      <c r="D11" s="44">
        <v>1</v>
      </c>
      <c r="E11" s="47">
        <v>1000</v>
      </c>
      <c r="F11" s="48">
        <f t="shared" si="0"/>
        <v>350</v>
      </c>
      <c r="G11" s="48">
        <f t="shared" si="1"/>
        <v>1350</v>
      </c>
      <c r="H11" s="48">
        <f t="shared" si="2"/>
        <v>16200</v>
      </c>
    </row>
    <row r="12" spans="2:8" ht="45" x14ac:dyDescent="0.25">
      <c r="B12" s="350" t="s">
        <v>33</v>
      </c>
      <c r="C12" s="49" t="s">
        <v>34</v>
      </c>
      <c r="D12" s="1">
        <v>1</v>
      </c>
      <c r="E12" s="50">
        <v>10000</v>
      </c>
      <c r="F12" s="51">
        <f t="shared" si="0"/>
        <v>3500</v>
      </c>
      <c r="G12" s="51">
        <f t="shared" si="1"/>
        <v>13500</v>
      </c>
      <c r="H12" s="51">
        <f t="shared" si="2"/>
        <v>162000</v>
      </c>
    </row>
    <row r="13" spans="2:8" ht="30" x14ac:dyDescent="0.25">
      <c r="B13" s="350"/>
      <c r="C13" s="49" t="s">
        <v>35</v>
      </c>
      <c r="D13" s="1">
        <v>1</v>
      </c>
      <c r="E13" s="50">
        <v>15000</v>
      </c>
      <c r="F13" s="51">
        <f t="shared" si="0"/>
        <v>5250</v>
      </c>
      <c r="G13" s="51">
        <f t="shared" si="1"/>
        <v>20250</v>
      </c>
      <c r="H13" s="51">
        <f t="shared" si="2"/>
        <v>243000</v>
      </c>
    </row>
    <row r="14" spans="2:8" x14ac:dyDescent="0.25">
      <c r="B14" s="262" t="s">
        <v>36</v>
      </c>
      <c r="C14" s="262" t="s">
        <v>37</v>
      </c>
      <c r="D14" s="44">
        <v>1</v>
      </c>
      <c r="E14" s="47">
        <v>3500</v>
      </c>
      <c r="F14" s="48">
        <f t="shared" si="0"/>
        <v>1225</v>
      </c>
      <c r="G14" s="48">
        <f t="shared" si="1"/>
        <v>4725</v>
      </c>
      <c r="H14" s="48">
        <f t="shared" si="2"/>
        <v>56700</v>
      </c>
    </row>
    <row r="15" spans="2:8" ht="30" x14ac:dyDescent="0.25">
      <c r="B15" s="260" t="s">
        <v>38</v>
      </c>
      <c r="C15" s="49" t="s">
        <v>39</v>
      </c>
      <c r="D15" s="1">
        <v>1</v>
      </c>
      <c r="E15" s="50">
        <v>3500</v>
      </c>
      <c r="F15" s="51">
        <f t="shared" si="0"/>
        <v>1225</v>
      </c>
      <c r="G15" s="51">
        <f t="shared" si="1"/>
        <v>4725</v>
      </c>
      <c r="H15" s="51">
        <f t="shared" si="2"/>
        <v>56700</v>
      </c>
    </row>
    <row r="16" spans="2:8" ht="30" x14ac:dyDescent="0.25">
      <c r="B16" s="262" t="s">
        <v>40</v>
      </c>
      <c r="C16" s="262" t="s">
        <v>41</v>
      </c>
      <c r="D16" s="44">
        <v>1</v>
      </c>
      <c r="E16" s="47">
        <v>16000</v>
      </c>
      <c r="F16" s="48">
        <f t="shared" si="0"/>
        <v>5600</v>
      </c>
      <c r="G16" s="48">
        <f t="shared" si="1"/>
        <v>21600</v>
      </c>
      <c r="H16" s="48">
        <f t="shared" si="2"/>
        <v>259200</v>
      </c>
    </row>
    <row r="17" spans="2:8" x14ac:dyDescent="0.25">
      <c r="B17" s="350" t="s">
        <v>42</v>
      </c>
      <c r="C17" s="49" t="s">
        <v>43</v>
      </c>
      <c r="D17" s="1">
        <v>1</v>
      </c>
      <c r="E17" s="50">
        <v>6000</v>
      </c>
      <c r="F17" s="51">
        <f t="shared" si="0"/>
        <v>2100</v>
      </c>
      <c r="G17" s="51">
        <f t="shared" si="1"/>
        <v>8100</v>
      </c>
      <c r="H17" s="51">
        <f t="shared" si="2"/>
        <v>97200</v>
      </c>
    </row>
    <row r="18" spans="2:8" x14ac:dyDescent="0.25">
      <c r="B18" s="350"/>
      <c r="C18" s="49" t="s">
        <v>44</v>
      </c>
      <c r="D18" s="1">
        <v>1</v>
      </c>
      <c r="E18" s="50">
        <v>21000</v>
      </c>
      <c r="F18" s="51">
        <f t="shared" si="0"/>
        <v>7349.9999999999991</v>
      </c>
      <c r="G18" s="51">
        <f t="shared" si="1"/>
        <v>28350</v>
      </c>
      <c r="H18" s="51">
        <f t="shared" si="2"/>
        <v>340200</v>
      </c>
    </row>
  </sheetData>
  <mergeCells count="6">
    <mergeCell ref="B17:B18"/>
    <mergeCell ref="B1:H1"/>
    <mergeCell ref="B3:B5"/>
    <mergeCell ref="B6:B7"/>
    <mergeCell ref="B10:B11"/>
    <mergeCell ref="B12:B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27EA9-BA92-41F1-ACD6-ECE2BF3467EB}">
  <sheetPr codeName="Hoja4"/>
  <dimension ref="A1:K36"/>
  <sheetViews>
    <sheetView topLeftCell="B19" workbookViewId="0">
      <selection sqref="A1:I1"/>
    </sheetView>
  </sheetViews>
  <sheetFormatPr baseColWidth="10" defaultColWidth="11.54296875" defaultRowHeight="15" x14ac:dyDescent="0.25"/>
  <cols>
    <col min="1" max="1" width="23" style="44" bestFit="1" customWidth="1"/>
    <col min="2" max="2" width="16.6328125" style="44" bestFit="1" customWidth="1"/>
    <col min="3" max="3" width="18" style="44" customWidth="1"/>
    <col min="4" max="4" width="12.54296875" style="44" bestFit="1" customWidth="1"/>
    <col min="5" max="5" width="15.08984375" style="44" customWidth="1"/>
    <col min="6" max="6" width="14" style="44" customWidth="1"/>
    <col min="7" max="7" width="30.453125" style="44" customWidth="1"/>
    <col min="8" max="8" width="15.6328125" style="44" customWidth="1"/>
    <col min="9" max="9" width="13.54296875" style="44" customWidth="1"/>
    <col min="10" max="10" width="27.6328125" style="44" customWidth="1"/>
    <col min="11" max="11" width="3.90625" style="44" customWidth="1"/>
    <col min="12" max="16384" width="11.54296875" style="44"/>
  </cols>
  <sheetData>
    <row r="1" spans="1:11" ht="21" x14ac:dyDescent="0.4">
      <c r="A1" s="358" t="s">
        <v>45</v>
      </c>
      <c r="B1" s="358"/>
      <c r="C1" s="358"/>
      <c r="D1" s="358"/>
      <c r="E1" s="358"/>
      <c r="F1" s="358"/>
      <c r="G1" s="358"/>
      <c r="H1" s="358"/>
      <c r="I1" s="358"/>
      <c r="J1" s="63"/>
      <c r="K1" s="275"/>
    </row>
    <row r="2" spans="1:11" x14ac:dyDescent="0.25">
      <c r="A2" s="63"/>
      <c r="B2" s="63"/>
      <c r="C2" s="63"/>
      <c r="D2" s="63"/>
      <c r="E2" s="63"/>
      <c r="F2" s="63"/>
      <c r="G2" s="63"/>
      <c r="H2" s="63"/>
      <c r="I2" s="63"/>
      <c r="J2" s="63"/>
      <c r="K2" s="275"/>
    </row>
    <row r="3" spans="1:11" x14ac:dyDescent="0.25">
      <c r="A3" s="60" t="s">
        <v>46</v>
      </c>
      <c r="B3" s="64"/>
      <c r="C3" s="87"/>
      <c r="D3" s="87"/>
      <c r="E3" s="87"/>
      <c r="F3" s="87"/>
      <c r="G3" s="87"/>
      <c r="H3" s="87"/>
      <c r="I3" s="63"/>
      <c r="J3" s="63"/>
      <c r="K3" s="275"/>
    </row>
    <row r="4" spans="1:11" ht="30" x14ac:dyDescent="0.25">
      <c r="A4" s="61" t="s">
        <v>47</v>
      </c>
      <c r="B4" s="65" t="s">
        <v>48</v>
      </c>
      <c r="C4" s="65" t="s">
        <v>49</v>
      </c>
      <c r="D4" s="65" t="s">
        <v>50</v>
      </c>
      <c r="E4" s="65" t="s">
        <v>51</v>
      </c>
      <c r="F4" s="65" t="s">
        <v>52</v>
      </c>
      <c r="G4" s="65" t="s">
        <v>53</v>
      </c>
      <c r="H4" s="65" t="s">
        <v>54</v>
      </c>
      <c r="I4" s="61" t="s">
        <v>55</v>
      </c>
      <c r="J4" s="66" t="s">
        <v>56</v>
      </c>
      <c r="K4" s="275"/>
    </row>
    <row r="5" spans="1:11" ht="15.6" x14ac:dyDescent="0.3">
      <c r="A5" s="362" t="s">
        <v>57</v>
      </c>
      <c r="B5" s="359" t="s">
        <v>58</v>
      </c>
      <c r="C5" s="360"/>
      <c r="D5" s="360"/>
      <c r="E5" s="360"/>
      <c r="F5" s="360"/>
      <c r="G5" s="360"/>
      <c r="H5" s="361"/>
      <c r="I5" s="62">
        <f>SUM(I6:I9)</f>
        <v>1080</v>
      </c>
      <c r="J5" s="67">
        <f>I5/12</f>
        <v>90</v>
      </c>
      <c r="K5" s="275"/>
    </row>
    <row r="6" spans="1:11" x14ac:dyDescent="0.25">
      <c r="A6" s="362"/>
      <c r="B6" s="68" t="s">
        <v>59</v>
      </c>
      <c r="C6" s="68">
        <v>10</v>
      </c>
      <c r="D6" s="68">
        <v>10</v>
      </c>
      <c r="E6" s="68">
        <v>800</v>
      </c>
      <c r="F6" s="68">
        <f>E6/D6</f>
        <v>80</v>
      </c>
      <c r="G6" s="68">
        <f>(E6-F6)/D6</f>
        <v>72</v>
      </c>
      <c r="H6" s="68">
        <v>6</v>
      </c>
      <c r="I6" s="69">
        <f>G6*H6</f>
        <v>432</v>
      </c>
      <c r="J6" s="70"/>
      <c r="K6" s="275"/>
    </row>
    <row r="7" spans="1:11" x14ac:dyDescent="0.25">
      <c r="A7" s="362"/>
      <c r="B7" s="68" t="s">
        <v>60</v>
      </c>
      <c r="C7" s="68">
        <v>10</v>
      </c>
      <c r="D7" s="68">
        <v>10</v>
      </c>
      <c r="E7" s="68">
        <v>1200</v>
      </c>
      <c r="F7" s="68">
        <f>E7/D7</f>
        <v>120</v>
      </c>
      <c r="G7" s="68">
        <f>(E7-F7)/D7</f>
        <v>108</v>
      </c>
      <c r="H7" s="68">
        <v>6</v>
      </c>
      <c r="I7" s="69">
        <f>G7*H7</f>
        <v>648</v>
      </c>
      <c r="J7" s="70"/>
      <c r="K7" s="275"/>
    </row>
    <row r="8" spans="1:11" x14ac:dyDescent="0.25">
      <c r="A8" s="362"/>
      <c r="B8" s="68" t="s">
        <v>61</v>
      </c>
      <c r="C8" s="68">
        <v>10</v>
      </c>
      <c r="D8" s="68">
        <v>10</v>
      </c>
      <c r="E8" s="68">
        <v>1500</v>
      </c>
      <c r="F8" s="68">
        <f>E8/D8</f>
        <v>150</v>
      </c>
      <c r="G8" s="68">
        <f>(E8-F8)/D8</f>
        <v>135</v>
      </c>
      <c r="H8" s="68">
        <v>0</v>
      </c>
      <c r="I8" s="69">
        <f>G8*H8</f>
        <v>0</v>
      </c>
      <c r="J8" s="70"/>
      <c r="K8" s="275"/>
    </row>
    <row r="9" spans="1:11" x14ac:dyDescent="0.25">
      <c r="A9" s="362"/>
      <c r="B9" s="71" t="s">
        <v>62</v>
      </c>
      <c r="C9" s="72">
        <v>10</v>
      </c>
      <c r="D9" s="68">
        <v>10</v>
      </c>
      <c r="E9" s="68">
        <v>2100</v>
      </c>
      <c r="F9" s="69">
        <f>E9/D9</f>
        <v>210</v>
      </c>
      <c r="G9" s="69">
        <f>(E9-F9)/D9</f>
        <v>189</v>
      </c>
      <c r="H9" s="68">
        <v>0</v>
      </c>
      <c r="I9" s="69">
        <f>G9*H9</f>
        <v>0</v>
      </c>
      <c r="J9" s="70"/>
      <c r="K9" s="275"/>
    </row>
    <row r="10" spans="1:11" ht="15.6" x14ac:dyDescent="0.3">
      <c r="A10" s="362"/>
      <c r="B10" s="353" t="s">
        <v>63</v>
      </c>
      <c r="C10" s="354"/>
      <c r="D10" s="354"/>
      <c r="E10" s="354"/>
      <c r="F10" s="354"/>
      <c r="G10" s="354"/>
      <c r="H10" s="355"/>
      <c r="I10" s="73">
        <f>SUM(I11:I13)</f>
        <v>21562.5</v>
      </c>
      <c r="J10" s="67">
        <f>I10/12</f>
        <v>1796.875</v>
      </c>
      <c r="K10" s="275"/>
    </row>
    <row r="11" spans="1:11" x14ac:dyDescent="0.25">
      <c r="A11" s="362"/>
      <c r="B11" s="68" t="s">
        <v>64</v>
      </c>
      <c r="C11" s="68">
        <v>30</v>
      </c>
      <c r="D11" s="68">
        <v>4</v>
      </c>
      <c r="E11" s="68">
        <v>15000</v>
      </c>
      <c r="F11" s="74">
        <f>E11/D11</f>
        <v>3750</v>
      </c>
      <c r="G11" s="74">
        <f>(E11-F11)/D11</f>
        <v>2812.5</v>
      </c>
      <c r="H11" s="68">
        <v>6</v>
      </c>
      <c r="I11" s="69">
        <f>G11*H11</f>
        <v>16875</v>
      </c>
      <c r="J11" s="70"/>
      <c r="K11" s="275"/>
    </row>
    <row r="12" spans="1:11" x14ac:dyDescent="0.25">
      <c r="A12" s="362"/>
      <c r="B12" s="68" t="s">
        <v>65</v>
      </c>
      <c r="C12" s="68">
        <v>30</v>
      </c>
      <c r="D12" s="68">
        <v>4</v>
      </c>
      <c r="E12" s="68">
        <v>5000</v>
      </c>
      <c r="F12" s="75">
        <f>E12/D12</f>
        <v>1250</v>
      </c>
      <c r="G12" s="75">
        <f>(E12-F12)/D12</f>
        <v>937.5</v>
      </c>
      <c r="H12" s="68">
        <v>0</v>
      </c>
      <c r="I12" s="69">
        <f>G12*H12</f>
        <v>0</v>
      </c>
      <c r="J12" s="70"/>
      <c r="K12" s="275"/>
    </row>
    <row r="13" spans="1:11" x14ac:dyDescent="0.25">
      <c r="A13" s="362"/>
      <c r="B13" s="76" t="s">
        <v>66</v>
      </c>
      <c r="C13" s="68">
        <v>30</v>
      </c>
      <c r="D13" s="68">
        <v>4</v>
      </c>
      <c r="E13" s="68">
        <v>25000</v>
      </c>
      <c r="F13" s="74">
        <f>E13/D13</f>
        <v>6250</v>
      </c>
      <c r="G13" s="74">
        <f>(E13-F13)/D13</f>
        <v>4687.5</v>
      </c>
      <c r="H13" s="68">
        <v>1</v>
      </c>
      <c r="I13" s="75">
        <f>G13*H13</f>
        <v>4687.5</v>
      </c>
      <c r="J13" s="70"/>
      <c r="K13" s="275"/>
    </row>
    <row r="14" spans="1:11" ht="15.6" x14ac:dyDescent="0.3">
      <c r="A14" s="77"/>
      <c r="B14" s="356" t="s">
        <v>67</v>
      </c>
      <c r="C14" s="356"/>
      <c r="D14" s="356"/>
      <c r="E14" s="356"/>
      <c r="F14" s="356"/>
      <c r="G14" s="356"/>
      <c r="H14" s="356"/>
      <c r="I14" s="78">
        <f>I10+I5</f>
        <v>22642.5</v>
      </c>
      <c r="J14" s="79">
        <f>I14/12</f>
        <v>1886.875</v>
      </c>
      <c r="K14" s="275"/>
    </row>
    <row r="15" spans="1:11" ht="15.6" x14ac:dyDescent="0.3">
      <c r="A15" s="362" t="s">
        <v>68</v>
      </c>
      <c r="B15" s="359" t="s">
        <v>58</v>
      </c>
      <c r="C15" s="360"/>
      <c r="D15" s="360"/>
      <c r="E15" s="360"/>
      <c r="F15" s="360"/>
      <c r="G15" s="360"/>
      <c r="H15" s="361"/>
      <c r="I15" s="62">
        <f>SUM(I16:I19)</f>
        <v>360</v>
      </c>
      <c r="J15" s="67">
        <f>I15/12</f>
        <v>30</v>
      </c>
      <c r="K15" s="275"/>
    </row>
    <row r="16" spans="1:11" x14ac:dyDescent="0.25">
      <c r="A16" s="362"/>
      <c r="B16" s="68" t="s">
        <v>59</v>
      </c>
      <c r="C16" s="68">
        <v>10</v>
      </c>
      <c r="D16" s="68">
        <v>10</v>
      </c>
      <c r="E16" s="68">
        <v>800</v>
      </c>
      <c r="F16" s="68">
        <f>E16/D16</f>
        <v>80</v>
      </c>
      <c r="G16" s="68">
        <f>(E16-F16)/D16</f>
        <v>72</v>
      </c>
      <c r="H16" s="68">
        <v>2</v>
      </c>
      <c r="I16" s="69">
        <f>G16*H16</f>
        <v>144</v>
      </c>
      <c r="J16" s="70"/>
      <c r="K16" s="275"/>
    </row>
    <row r="17" spans="1:11" x14ac:dyDescent="0.25">
      <c r="A17" s="362"/>
      <c r="B17" s="68" t="s">
        <v>60</v>
      </c>
      <c r="C17" s="68">
        <v>10</v>
      </c>
      <c r="D17" s="68">
        <v>10</v>
      </c>
      <c r="E17" s="68">
        <v>1200</v>
      </c>
      <c r="F17" s="68">
        <f>E17/D17</f>
        <v>120</v>
      </c>
      <c r="G17" s="68">
        <f>(E17-F17)/D17</f>
        <v>108</v>
      </c>
      <c r="H17" s="68">
        <v>2</v>
      </c>
      <c r="I17" s="69">
        <f>G17*H17</f>
        <v>216</v>
      </c>
      <c r="J17" s="70"/>
      <c r="K17" s="275"/>
    </row>
    <row r="18" spans="1:11" x14ac:dyDescent="0.25">
      <c r="A18" s="362"/>
      <c r="B18" s="68" t="s">
        <v>61</v>
      </c>
      <c r="C18" s="68">
        <v>10</v>
      </c>
      <c r="D18" s="68">
        <v>10</v>
      </c>
      <c r="E18" s="68">
        <v>1500</v>
      </c>
      <c r="F18" s="68">
        <f>E18/D18</f>
        <v>150</v>
      </c>
      <c r="G18" s="68">
        <f>(E18-F18)/D18</f>
        <v>135</v>
      </c>
      <c r="H18" s="68">
        <v>0</v>
      </c>
      <c r="I18" s="69">
        <f>G18*H18</f>
        <v>0</v>
      </c>
      <c r="J18" s="70"/>
      <c r="K18" s="275"/>
    </row>
    <row r="19" spans="1:11" x14ac:dyDescent="0.25">
      <c r="A19" s="362"/>
      <c r="B19" s="71" t="s">
        <v>62</v>
      </c>
      <c r="C19" s="72">
        <v>10</v>
      </c>
      <c r="D19" s="68">
        <v>10</v>
      </c>
      <c r="E19" s="69">
        <v>2100</v>
      </c>
      <c r="F19" s="69">
        <f>E19/D19</f>
        <v>210</v>
      </c>
      <c r="G19" s="69">
        <f>(E19-F19)/D19</f>
        <v>189</v>
      </c>
      <c r="H19" s="68">
        <v>0</v>
      </c>
      <c r="I19" s="69">
        <f>G19*H19</f>
        <v>0</v>
      </c>
      <c r="J19" s="70"/>
      <c r="K19" s="275"/>
    </row>
    <row r="20" spans="1:11" ht="15.6" x14ac:dyDescent="0.3">
      <c r="A20" s="362"/>
      <c r="B20" s="353" t="s">
        <v>63</v>
      </c>
      <c r="C20" s="354"/>
      <c r="D20" s="354"/>
      <c r="E20" s="354"/>
      <c r="F20" s="354"/>
      <c r="G20" s="354"/>
      <c r="H20" s="355"/>
      <c r="I20" s="73">
        <f>SUM(I21:I23)</f>
        <v>6562.5</v>
      </c>
      <c r="J20" s="67">
        <f>I20/12</f>
        <v>546.875</v>
      </c>
      <c r="K20" s="275"/>
    </row>
    <row r="21" spans="1:11" x14ac:dyDescent="0.25">
      <c r="A21" s="362"/>
      <c r="B21" s="68" t="s">
        <v>64</v>
      </c>
      <c r="C21" s="68">
        <v>30</v>
      </c>
      <c r="D21" s="68">
        <v>4</v>
      </c>
      <c r="E21" s="68">
        <v>15000</v>
      </c>
      <c r="F21" s="75">
        <f>E21/D21</f>
        <v>3750</v>
      </c>
      <c r="G21" s="75">
        <f>(E21-F21)/D21</f>
        <v>2812.5</v>
      </c>
      <c r="H21" s="68">
        <v>2</v>
      </c>
      <c r="I21" s="75">
        <f>G21*H21</f>
        <v>5625</v>
      </c>
      <c r="J21" s="70"/>
      <c r="K21" s="275"/>
    </row>
    <row r="22" spans="1:11" x14ac:dyDescent="0.25">
      <c r="A22" s="362"/>
      <c r="B22" s="68" t="s">
        <v>65</v>
      </c>
      <c r="C22" s="68">
        <v>30</v>
      </c>
      <c r="D22" s="68">
        <v>4</v>
      </c>
      <c r="E22" s="68">
        <v>5000</v>
      </c>
      <c r="F22" s="75">
        <f>E22/D22</f>
        <v>1250</v>
      </c>
      <c r="G22" s="75">
        <f>(E22-F22)/D22</f>
        <v>937.5</v>
      </c>
      <c r="H22" s="68">
        <v>1</v>
      </c>
      <c r="I22" s="75">
        <f>G22*H22</f>
        <v>937.5</v>
      </c>
      <c r="J22" s="70"/>
      <c r="K22" s="275"/>
    </row>
    <row r="23" spans="1:11" x14ac:dyDescent="0.25">
      <c r="A23" s="362"/>
      <c r="B23" s="76" t="s">
        <v>66</v>
      </c>
      <c r="C23" s="68">
        <v>30</v>
      </c>
      <c r="D23" s="68">
        <v>4</v>
      </c>
      <c r="E23" s="68">
        <v>25000</v>
      </c>
      <c r="F23" s="75">
        <f>E23/D23</f>
        <v>6250</v>
      </c>
      <c r="G23" s="75">
        <f>(E23-F23)/D23</f>
        <v>4687.5</v>
      </c>
      <c r="H23" s="68">
        <v>0</v>
      </c>
      <c r="I23" s="80">
        <f>G23*H23</f>
        <v>0</v>
      </c>
      <c r="J23" s="70"/>
      <c r="K23" s="275"/>
    </row>
    <row r="24" spans="1:11" ht="15.6" x14ac:dyDescent="0.3">
      <c r="A24" s="77"/>
      <c r="B24" s="356" t="s">
        <v>69</v>
      </c>
      <c r="C24" s="356"/>
      <c r="D24" s="356"/>
      <c r="E24" s="356"/>
      <c r="F24" s="356"/>
      <c r="G24" s="356"/>
      <c r="H24" s="356"/>
      <c r="I24" s="81">
        <f>I20+I15</f>
        <v>6922.5</v>
      </c>
      <c r="J24" s="79">
        <f>I24/12</f>
        <v>576.875</v>
      </c>
      <c r="K24" s="275"/>
    </row>
    <row r="25" spans="1:11" ht="15.6" x14ac:dyDescent="0.3">
      <c r="A25" s="362" t="s">
        <v>70</v>
      </c>
      <c r="B25" s="359" t="s">
        <v>58</v>
      </c>
      <c r="C25" s="360"/>
      <c r="D25" s="360"/>
      <c r="E25" s="360"/>
      <c r="F25" s="360"/>
      <c r="G25" s="360"/>
      <c r="H25" s="361"/>
      <c r="I25" s="62">
        <f>+I26+I27+I28+I29</f>
        <v>1224</v>
      </c>
      <c r="J25" s="67">
        <f>I25/12</f>
        <v>102</v>
      </c>
      <c r="K25" s="275"/>
    </row>
    <row r="26" spans="1:11" x14ac:dyDescent="0.25">
      <c r="A26" s="362"/>
      <c r="B26" s="68" t="s">
        <v>59</v>
      </c>
      <c r="C26" s="68">
        <v>10</v>
      </c>
      <c r="D26" s="68">
        <v>10</v>
      </c>
      <c r="E26" s="68">
        <v>800</v>
      </c>
      <c r="F26" s="68">
        <f>E26/D26</f>
        <v>80</v>
      </c>
      <c r="G26" s="68">
        <f>(E26-F26)/D26</f>
        <v>72</v>
      </c>
      <c r="H26" s="68">
        <v>5</v>
      </c>
      <c r="I26" s="69">
        <f>G26*H26</f>
        <v>360</v>
      </c>
      <c r="J26" s="70"/>
      <c r="K26" s="275"/>
    </row>
    <row r="27" spans="1:11" x14ac:dyDescent="0.25">
      <c r="A27" s="362"/>
      <c r="B27" s="68" t="s">
        <v>60</v>
      </c>
      <c r="C27" s="68">
        <v>10</v>
      </c>
      <c r="D27" s="68">
        <v>10</v>
      </c>
      <c r="E27" s="68">
        <v>1200</v>
      </c>
      <c r="F27" s="68">
        <f>E27/D27</f>
        <v>120</v>
      </c>
      <c r="G27" s="68">
        <f>(E27-F27)/D27</f>
        <v>108</v>
      </c>
      <c r="H27" s="68">
        <v>5</v>
      </c>
      <c r="I27" s="69">
        <f>G27*H27</f>
        <v>540</v>
      </c>
      <c r="J27" s="70"/>
      <c r="K27" s="275"/>
    </row>
    <row r="28" spans="1:11" x14ac:dyDescent="0.25">
      <c r="A28" s="362"/>
      <c r="B28" s="68" t="s">
        <v>61</v>
      </c>
      <c r="C28" s="68">
        <v>10</v>
      </c>
      <c r="D28" s="68">
        <v>10</v>
      </c>
      <c r="E28" s="68">
        <v>1500</v>
      </c>
      <c r="F28" s="68">
        <f>E28/D28</f>
        <v>150</v>
      </c>
      <c r="G28" s="68">
        <f>(E28-F28)/D28</f>
        <v>135</v>
      </c>
      <c r="H28" s="68">
        <v>1</v>
      </c>
      <c r="I28" s="69">
        <f>G28*H28</f>
        <v>135</v>
      </c>
      <c r="J28" s="70"/>
      <c r="K28" s="275"/>
    </row>
    <row r="29" spans="1:11" x14ac:dyDescent="0.25">
      <c r="A29" s="362"/>
      <c r="B29" s="71" t="s">
        <v>62</v>
      </c>
      <c r="C29" s="72">
        <v>10</v>
      </c>
      <c r="D29" s="68">
        <v>10</v>
      </c>
      <c r="E29" s="69">
        <v>2100</v>
      </c>
      <c r="F29" s="69">
        <f>E29/D29</f>
        <v>210</v>
      </c>
      <c r="G29" s="69">
        <f>(E29-F29)/D29</f>
        <v>189</v>
      </c>
      <c r="H29" s="68">
        <v>1</v>
      </c>
      <c r="I29" s="69">
        <f>G29*H29</f>
        <v>189</v>
      </c>
      <c r="J29" s="70"/>
      <c r="K29" s="275"/>
    </row>
    <row r="30" spans="1:11" ht="15.6" x14ac:dyDescent="0.3">
      <c r="A30" s="362"/>
      <c r="B30" s="353" t="s">
        <v>63</v>
      </c>
      <c r="C30" s="354"/>
      <c r="D30" s="354"/>
      <c r="E30" s="354"/>
      <c r="F30" s="354"/>
      <c r="G30" s="354"/>
      <c r="H30" s="355"/>
      <c r="I30" s="73">
        <f>+I31+I32+I33</f>
        <v>15000</v>
      </c>
      <c r="J30" s="67">
        <f>I30/12</f>
        <v>1250</v>
      </c>
      <c r="K30" s="275"/>
    </row>
    <row r="31" spans="1:11" x14ac:dyDescent="0.25">
      <c r="A31" s="362"/>
      <c r="B31" s="68" t="s">
        <v>64</v>
      </c>
      <c r="C31" s="68">
        <v>30</v>
      </c>
      <c r="D31" s="68">
        <v>4</v>
      </c>
      <c r="E31" s="68">
        <v>15000</v>
      </c>
      <c r="F31" s="75">
        <f>E31/D31</f>
        <v>3750</v>
      </c>
      <c r="G31" s="75">
        <f>(E31-F31)/D31</f>
        <v>2812.5</v>
      </c>
      <c r="H31" s="68">
        <v>5</v>
      </c>
      <c r="I31" s="75">
        <f>G31*H31</f>
        <v>14062.5</v>
      </c>
      <c r="J31" s="70"/>
      <c r="K31" s="275"/>
    </row>
    <row r="32" spans="1:11" x14ac:dyDescent="0.25">
      <c r="A32" s="362"/>
      <c r="B32" s="68" t="s">
        <v>65</v>
      </c>
      <c r="C32" s="68">
        <v>30</v>
      </c>
      <c r="D32" s="68">
        <v>4</v>
      </c>
      <c r="E32" s="68">
        <v>5000</v>
      </c>
      <c r="F32" s="75">
        <f>E32/D32</f>
        <v>1250</v>
      </c>
      <c r="G32" s="75">
        <f>(E32-F32)/D32</f>
        <v>937.5</v>
      </c>
      <c r="H32" s="68">
        <v>1</v>
      </c>
      <c r="I32" s="75">
        <f>G32*H32</f>
        <v>937.5</v>
      </c>
      <c r="J32" s="70"/>
      <c r="K32" s="275"/>
    </row>
    <row r="33" spans="1:11" x14ac:dyDescent="0.25">
      <c r="A33" s="362"/>
      <c r="B33" s="76" t="s">
        <v>66</v>
      </c>
      <c r="C33" s="68">
        <v>30</v>
      </c>
      <c r="D33" s="68">
        <v>4</v>
      </c>
      <c r="E33" s="68">
        <v>25000</v>
      </c>
      <c r="F33" s="75">
        <f>E33/D33</f>
        <v>6250</v>
      </c>
      <c r="G33" s="75">
        <f>(E33-F33)/D33</f>
        <v>4687.5</v>
      </c>
      <c r="H33" s="68">
        <v>0</v>
      </c>
      <c r="I33" s="75">
        <f>G33*H33</f>
        <v>0</v>
      </c>
      <c r="J33" s="70"/>
      <c r="K33" s="275"/>
    </row>
    <row r="34" spans="1:11" ht="15.6" x14ac:dyDescent="0.3">
      <c r="A34" s="77"/>
      <c r="B34" s="356" t="s">
        <v>71</v>
      </c>
      <c r="C34" s="356"/>
      <c r="D34" s="356"/>
      <c r="E34" s="356"/>
      <c r="F34" s="356"/>
      <c r="G34" s="356"/>
      <c r="H34" s="356"/>
      <c r="I34" s="82">
        <f>I30+I25</f>
        <v>16224</v>
      </c>
      <c r="J34" s="83">
        <f>I34/12</f>
        <v>1352</v>
      </c>
      <c r="K34" s="275"/>
    </row>
    <row r="35" spans="1:11" ht="15.6" x14ac:dyDescent="0.25">
      <c r="A35" s="60" t="s">
        <v>72</v>
      </c>
      <c r="B35" s="64" t="s">
        <v>73</v>
      </c>
      <c r="C35" s="64"/>
      <c r="D35" s="64"/>
      <c r="E35" s="64"/>
      <c r="F35" s="357" t="s">
        <v>74</v>
      </c>
      <c r="G35" s="357"/>
      <c r="H35" s="357"/>
      <c r="I35" s="84">
        <f>I34+I24+I14</f>
        <v>45789</v>
      </c>
      <c r="J35" s="85">
        <f>I35/12</f>
        <v>3815.75</v>
      </c>
      <c r="K35" s="275"/>
    </row>
    <row r="36" spans="1:11" x14ac:dyDescent="0.25">
      <c r="A36" s="275"/>
      <c r="B36" s="275"/>
      <c r="C36" s="275"/>
      <c r="D36" s="275"/>
      <c r="E36" s="275"/>
      <c r="F36" s="275"/>
      <c r="G36" s="275"/>
      <c r="H36" s="275"/>
      <c r="I36" s="275"/>
      <c r="J36" s="275"/>
      <c r="K36" s="275"/>
    </row>
  </sheetData>
  <mergeCells count="14">
    <mergeCell ref="B30:H30"/>
    <mergeCell ref="B34:H34"/>
    <mergeCell ref="F35:H35"/>
    <mergeCell ref="A1:I1"/>
    <mergeCell ref="B5:H5"/>
    <mergeCell ref="B14:H14"/>
    <mergeCell ref="A5:A13"/>
    <mergeCell ref="B10:H10"/>
    <mergeCell ref="A15:A23"/>
    <mergeCell ref="B15:H15"/>
    <mergeCell ref="B20:H20"/>
    <mergeCell ref="A25:A33"/>
    <mergeCell ref="B24:H24"/>
    <mergeCell ref="B25:H2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61069-3D6B-4E89-A671-66DA2DAEBA3E}">
  <sheetPr codeName="Hoja6"/>
  <dimension ref="A1:U10"/>
  <sheetViews>
    <sheetView workbookViewId="0">
      <selection activeCell="I15" sqref="I15"/>
    </sheetView>
  </sheetViews>
  <sheetFormatPr baseColWidth="10" defaultColWidth="11.54296875" defaultRowHeight="15" x14ac:dyDescent="0.25"/>
  <cols>
    <col min="1" max="1" width="3.90625" style="292" customWidth="1"/>
    <col min="2" max="2" width="15.90625" style="292" customWidth="1"/>
    <col min="3" max="4" width="11.6328125" style="292" customWidth="1"/>
    <col min="5" max="5" width="14.08984375" style="292" customWidth="1"/>
    <col min="6" max="7" width="11.6328125" style="292" customWidth="1"/>
    <col min="8" max="8" width="13.453125" style="292" customWidth="1"/>
    <col min="9" max="10" width="11.6328125" style="292" customWidth="1"/>
    <col min="11" max="11" width="13.08984375" style="292" customWidth="1"/>
    <col min="12" max="13" width="11.6328125" style="292" customWidth="1"/>
    <col min="14" max="14" width="14.08984375" style="292" customWidth="1"/>
    <col min="15" max="16" width="11.6328125" style="292" customWidth="1"/>
    <col min="17" max="17" width="16.1796875" style="292" customWidth="1"/>
    <col min="18" max="19" width="11.54296875" style="292"/>
    <col min="20" max="20" width="15" style="292" customWidth="1"/>
    <col min="21" max="21" width="5.453125" style="292" customWidth="1"/>
    <col min="22" max="16384" width="11.54296875" style="292"/>
  </cols>
  <sheetData>
    <row r="1" spans="1:21" x14ac:dyDescent="0.25">
      <c r="A1" s="275"/>
      <c r="B1" s="275"/>
      <c r="C1" s="275"/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75"/>
      <c r="O1" s="275"/>
      <c r="P1" s="275"/>
      <c r="Q1" s="275"/>
      <c r="R1" s="275"/>
      <c r="S1" s="275"/>
      <c r="T1" s="275"/>
      <c r="U1" s="275"/>
    </row>
    <row r="2" spans="1:21" ht="16.5" customHeight="1" x14ac:dyDescent="0.25">
      <c r="A2" s="275"/>
      <c r="B2" s="365" t="s">
        <v>145</v>
      </c>
      <c r="C2" s="365">
        <v>2020</v>
      </c>
      <c r="D2" s="365"/>
      <c r="E2" s="365"/>
      <c r="F2" s="364">
        <v>2021</v>
      </c>
      <c r="G2" s="364"/>
      <c r="H2" s="364"/>
      <c r="I2" s="366">
        <v>2022</v>
      </c>
      <c r="J2" s="366"/>
      <c r="K2" s="366"/>
      <c r="L2" s="364">
        <v>2023</v>
      </c>
      <c r="M2" s="364"/>
      <c r="N2" s="364"/>
      <c r="O2" s="365">
        <v>2024</v>
      </c>
      <c r="P2" s="365"/>
      <c r="Q2" s="365"/>
      <c r="R2" s="363">
        <v>2025</v>
      </c>
      <c r="S2" s="363"/>
      <c r="T2" s="363"/>
      <c r="U2" s="275"/>
    </row>
    <row r="3" spans="1:21" x14ac:dyDescent="0.25">
      <c r="A3" s="275"/>
      <c r="B3" s="365"/>
      <c r="C3" s="177" t="s">
        <v>146</v>
      </c>
      <c r="D3" s="177" t="s">
        <v>147</v>
      </c>
      <c r="E3" s="177" t="s">
        <v>148</v>
      </c>
      <c r="F3" s="178" t="s">
        <v>146</v>
      </c>
      <c r="G3" s="178" t="s">
        <v>147</v>
      </c>
      <c r="H3" s="178" t="s">
        <v>148</v>
      </c>
      <c r="I3" s="179" t="s">
        <v>146</v>
      </c>
      <c r="J3" s="179" t="s">
        <v>147</v>
      </c>
      <c r="K3" s="179" t="s">
        <v>148</v>
      </c>
      <c r="L3" s="178" t="s">
        <v>146</v>
      </c>
      <c r="M3" s="178" t="s">
        <v>147</v>
      </c>
      <c r="N3" s="178" t="s">
        <v>148</v>
      </c>
      <c r="O3" s="266" t="s">
        <v>146</v>
      </c>
      <c r="P3" s="266" t="s">
        <v>147</v>
      </c>
      <c r="Q3" s="266" t="s">
        <v>148</v>
      </c>
      <c r="R3" s="265" t="s">
        <v>146</v>
      </c>
      <c r="S3" s="265" t="s">
        <v>147</v>
      </c>
      <c r="T3" s="265" t="s">
        <v>148</v>
      </c>
      <c r="U3" s="275"/>
    </row>
    <row r="4" spans="1:21" x14ac:dyDescent="0.25">
      <c r="A4" s="275"/>
      <c r="B4" s="180" t="s">
        <v>149</v>
      </c>
      <c r="C4" s="181">
        <v>40125</v>
      </c>
      <c r="D4" s="182">
        <v>70</v>
      </c>
      <c r="E4" s="182">
        <f>C4*D4</f>
        <v>2808750</v>
      </c>
      <c r="F4" s="183">
        <f>C4+C4*0.1</f>
        <v>44137.5</v>
      </c>
      <c r="G4" s="184">
        <f>D4</f>
        <v>70</v>
      </c>
      <c r="H4" s="184">
        <f>F4*G4</f>
        <v>3089625</v>
      </c>
      <c r="I4" s="185">
        <f>F4+C4*0.1</f>
        <v>48150</v>
      </c>
      <c r="J4" s="186">
        <f>D4</f>
        <v>70</v>
      </c>
      <c r="K4" s="186">
        <f>I4*J4</f>
        <v>3370500</v>
      </c>
      <c r="L4" s="183">
        <f>I4+C4*0.1</f>
        <v>52162.5</v>
      </c>
      <c r="M4" s="184">
        <f>D4</f>
        <v>70</v>
      </c>
      <c r="N4" s="184">
        <f>L4*M4</f>
        <v>3651375</v>
      </c>
      <c r="O4" s="181">
        <f>L4+C4*0.1</f>
        <v>56175</v>
      </c>
      <c r="P4" s="182">
        <f>D4</f>
        <v>70</v>
      </c>
      <c r="Q4" s="182">
        <f>O4*P4</f>
        <v>3932250</v>
      </c>
      <c r="R4" s="183">
        <f>O4+F4*0.1</f>
        <v>60588.75</v>
      </c>
      <c r="S4" s="184">
        <f>G4</f>
        <v>70</v>
      </c>
      <c r="T4" s="184">
        <f>R4*S4</f>
        <v>4241212.5</v>
      </c>
      <c r="U4" s="275"/>
    </row>
    <row r="5" spans="1:21" x14ac:dyDescent="0.25">
      <c r="A5" s="275"/>
      <c r="B5" s="180" t="s">
        <v>150</v>
      </c>
      <c r="C5" s="181">
        <f>C4*2</f>
        <v>80250</v>
      </c>
      <c r="D5" s="182">
        <v>0.38</v>
      </c>
      <c r="E5" s="182">
        <f>C5*D5</f>
        <v>30495</v>
      </c>
      <c r="F5" s="183">
        <f t="shared" ref="F5" si="0">F4*2</f>
        <v>88275</v>
      </c>
      <c r="G5" s="187">
        <f>D5</f>
        <v>0.38</v>
      </c>
      <c r="H5" s="184">
        <f>F5*G5</f>
        <v>33544.5</v>
      </c>
      <c r="I5" s="185">
        <f t="shared" ref="I5" si="1">I4*2</f>
        <v>96300</v>
      </c>
      <c r="J5" s="188">
        <f>D5</f>
        <v>0.38</v>
      </c>
      <c r="K5" s="186">
        <f>I5*J5</f>
        <v>36594</v>
      </c>
      <c r="L5" s="183">
        <f>L4*2</f>
        <v>104325</v>
      </c>
      <c r="M5" s="187">
        <f>D5</f>
        <v>0.38</v>
      </c>
      <c r="N5" s="184">
        <f>L5*M5</f>
        <v>39643.5</v>
      </c>
      <c r="O5" s="181">
        <f t="shared" ref="O5" si="2">O4*2</f>
        <v>112350</v>
      </c>
      <c r="P5" s="197">
        <f>D5</f>
        <v>0.38</v>
      </c>
      <c r="Q5" s="182">
        <f>O5*P5</f>
        <v>42693</v>
      </c>
      <c r="R5" s="183">
        <f>R4*2</f>
        <v>121177.5</v>
      </c>
      <c r="S5" s="187">
        <f>G5</f>
        <v>0.38</v>
      </c>
      <c r="T5" s="184">
        <f>R5*S5</f>
        <v>46047.45</v>
      </c>
      <c r="U5" s="275"/>
    </row>
    <row r="6" spans="1:21" x14ac:dyDescent="0.25">
      <c r="A6" s="275"/>
      <c r="B6" s="180"/>
      <c r="C6" s="180"/>
      <c r="D6" s="180"/>
      <c r="E6" s="180"/>
      <c r="F6" s="189"/>
      <c r="G6" s="189"/>
      <c r="H6" s="189"/>
      <c r="I6" s="190"/>
      <c r="J6" s="190"/>
      <c r="K6" s="190"/>
      <c r="L6" s="189"/>
      <c r="M6" s="189"/>
      <c r="N6" s="189"/>
      <c r="O6" s="180"/>
      <c r="P6" s="180"/>
      <c r="Q6" s="180"/>
      <c r="R6" s="189"/>
      <c r="S6" s="189"/>
      <c r="T6" s="189"/>
      <c r="U6" s="275"/>
    </row>
    <row r="7" spans="1:21" x14ac:dyDescent="0.25">
      <c r="A7" s="275"/>
      <c r="B7" s="266" t="s">
        <v>151</v>
      </c>
      <c r="C7" s="191"/>
      <c r="D7" s="180"/>
      <c r="E7" s="192">
        <f>E4+E5</f>
        <v>2839245</v>
      </c>
      <c r="F7" s="193"/>
      <c r="G7" s="193"/>
      <c r="H7" s="194">
        <f t="shared" ref="H7" si="3">H4+H5</f>
        <v>3123169.5</v>
      </c>
      <c r="I7" s="195"/>
      <c r="J7" s="195"/>
      <c r="K7" s="196">
        <f t="shared" ref="K7" si="4">K4+K5</f>
        <v>3407094</v>
      </c>
      <c r="L7" s="193"/>
      <c r="M7" s="193"/>
      <c r="N7" s="194">
        <f t="shared" ref="N7" si="5">N4+N5</f>
        <v>3691018.5</v>
      </c>
      <c r="O7" s="191"/>
      <c r="P7" s="191"/>
      <c r="Q7" s="192">
        <f t="shared" ref="Q7" si="6">Q4+Q5</f>
        <v>3974943</v>
      </c>
      <c r="R7" s="193"/>
      <c r="S7" s="193"/>
      <c r="T7" s="194">
        <f>T4+T5</f>
        <v>4287259.95</v>
      </c>
      <c r="U7" s="275"/>
    </row>
    <row r="8" spans="1:21" x14ac:dyDescent="0.25">
      <c r="A8" s="275"/>
      <c r="B8" s="275"/>
      <c r="C8" s="275"/>
      <c r="D8" s="275"/>
      <c r="E8" s="275"/>
      <c r="F8" s="275"/>
      <c r="G8" s="275"/>
      <c r="H8" s="275"/>
      <c r="I8" s="275"/>
      <c r="J8" s="275"/>
      <c r="K8" s="275"/>
      <c r="L8" s="275"/>
      <c r="M8" s="275"/>
      <c r="N8" s="275"/>
      <c r="O8" s="275"/>
      <c r="P8" s="275"/>
      <c r="Q8" s="275"/>
      <c r="R8" s="275"/>
      <c r="S8" s="275"/>
      <c r="T8" s="275"/>
      <c r="U8" s="275"/>
    </row>
    <row r="10" spans="1:21" x14ac:dyDescent="0.25">
      <c r="C10" s="293"/>
      <c r="D10" s="294"/>
      <c r="E10" s="293"/>
      <c r="F10" s="293"/>
      <c r="G10" s="294"/>
      <c r="H10" s="293"/>
    </row>
  </sheetData>
  <mergeCells count="7">
    <mergeCell ref="R2:T2"/>
    <mergeCell ref="L2:N2"/>
    <mergeCell ref="O2:Q2"/>
    <mergeCell ref="C2:E2"/>
    <mergeCell ref="B2:B3"/>
    <mergeCell ref="F2:H2"/>
    <mergeCell ref="I2:K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BEEF9-3530-47C9-BF83-D5F494E636A0}">
  <sheetPr codeName="Hoja8"/>
  <dimension ref="B1:AA7"/>
  <sheetViews>
    <sheetView workbookViewId="0">
      <selection activeCell="A2" sqref="A2"/>
    </sheetView>
  </sheetViews>
  <sheetFormatPr baseColWidth="10" defaultColWidth="8.90625" defaultRowHeight="15" x14ac:dyDescent="0.25"/>
  <cols>
    <col min="1" max="1" width="8.90625" style="292"/>
    <col min="2" max="2" width="3.6328125" style="292" customWidth="1"/>
    <col min="3" max="3" width="9" style="292" bestFit="1" customWidth="1"/>
    <col min="4" max="4" width="12.453125" style="292" bestFit="1" customWidth="1"/>
    <col min="5" max="5" width="10" style="292" bestFit="1" customWidth="1"/>
    <col min="6" max="6" width="13.453125" style="292" bestFit="1" customWidth="1"/>
    <col min="7" max="7" width="9" style="292" bestFit="1" customWidth="1"/>
    <col min="8" max="8" width="12.453125" style="292" bestFit="1" customWidth="1"/>
    <col min="9" max="9" width="10" style="292" bestFit="1" customWidth="1"/>
    <col min="10" max="10" width="13.453125" style="292" bestFit="1" customWidth="1"/>
    <col min="11" max="11" width="9" style="292" bestFit="1" customWidth="1"/>
    <col min="12" max="12" width="12.453125" style="292" bestFit="1" customWidth="1"/>
    <col min="13" max="13" width="10" style="292" bestFit="1" customWidth="1"/>
    <col min="14" max="14" width="13.453125" style="292" bestFit="1" customWidth="1"/>
    <col min="15" max="15" width="9" style="292" bestFit="1" customWidth="1"/>
    <col min="16" max="16" width="12.453125" style="292" bestFit="1" customWidth="1"/>
    <col min="17" max="17" width="10" style="292" bestFit="1" customWidth="1"/>
    <col min="18" max="18" width="13.453125" style="292" bestFit="1" customWidth="1"/>
    <col min="19" max="19" width="9" style="292" bestFit="1" customWidth="1"/>
    <col min="20" max="20" width="12.453125" style="292" bestFit="1" customWidth="1"/>
    <col min="21" max="21" width="10" style="292" bestFit="1" customWidth="1"/>
    <col min="22" max="22" width="13.453125" style="292" bestFit="1" customWidth="1"/>
    <col min="23" max="23" width="9" style="292" bestFit="1" customWidth="1"/>
    <col min="24" max="24" width="12.453125" style="292" bestFit="1" customWidth="1"/>
    <col min="25" max="25" width="10" style="292" bestFit="1" customWidth="1"/>
    <col min="26" max="26" width="13.453125" style="292" bestFit="1" customWidth="1"/>
    <col min="27" max="16384" width="8.90625" style="292"/>
  </cols>
  <sheetData>
    <row r="1" spans="2:27" x14ac:dyDescent="0.25"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  <c r="M1" s="295"/>
      <c r="N1" s="295"/>
      <c r="O1" s="295"/>
      <c r="P1" s="295"/>
      <c r="Q1" s="295"/>
      <c r="R1" s="295"/>
      <c r="S1" s="295"/>
      <c r="T1" s="295"/>
      <c r="U1" s="295"/>
      <c r="V1" s="295"/>
      <c r="W1" s="295"/>
      <c r="X1" s="295"/>
      <c r="Y1" s="295"/>
      <c r="Z1" s="295"/>
      <c r="AA1" s="295"/>
    </row>
    <row r="2" spans="2:27" ht="15.6" thickBot="1" x14ac:dyDescent="0.3">
      <c r="B2" s="295"/>
      <c r="C2" s="374" t="s">
        <v>152</v>
      </c>
      <c r="D2" s="374"/>
      <c r="E2" s="374"/>
      <c r="F2" s="295"/>
      <c r="G2" s="295"/>
      <c r="H2" s="295"/>
      <c r="I2" s="295"/>
      <c r="J2" s="295"/>
      <c r="K2" s="295"/>
      <c r="L2" s="295"/>
      <c r="M2" s="295"/>
      <c r="N2" s="295"/>
      <c r="O2" s="295"/>
      <c r="P2" s="295"/>
      <c r="Q2" s="295"/>
      <c r="R2" s="295"/>
      <c r="S2" s="295"/>
      <c r="T2" s="295"/>
      <c r="U2" s="295"/>
      <c r="V2" s="295"/>
      <c r="W2" s="295"/>
      <c r="X2" s="295"/>
      <c r="Y2" s="295"/>
      <c r="Z2" s="295"/>
      <c r="AA2" s="295"/>
    </row>
    <row r="3" spans="2:27" ht="15.6" thickBot="1" x14ac:dyDescent="0.3">
      <c r="B3" s="295"/>
      <c r="C3" s="373">
        <v>2020</v>
      </c>
      <c r="D3" s="371"/>
      <c r="E3" s="371"/>
      <c r="F3" s="372"/>
      <c r="G3" s="373">
        <v>2021</v>
      </c>
      <c r="H3" s="371"/>
      <c r="I3" s="371"/>
      <c r="J3" s="372"/>
      <c r="K3" s="373">
        <v>2022</v>
      </c>
      <c r="L3" s="371"/>
      <c r="M3" s="371"/>
      <c r="N3" s="372"/>
      <c r="O3" s="373">
        <v>2023</v>
      </c>
      <c r="P3" s="371"/>
      <c r="Q3" s="371"/>
      <c r="R3" s="372"/>
      <c r="S3" s="373">
        <v>2024</v>
      </c>
      <c r="T3" s="371"/>
      <c r="U3" s="371"/>
      <c r="V3" s="372"/>
      <c r="W3" s="371">
        <v>2025</v>
      </c>
      <c r="X3" s="371"/>
      <c r="Y3" s="371"/>
      <c r="Z3" s="372"/>
      <c r="AA3" s="295"/>
    </row>
    <row r="4" spans="2:27" x14ac:dyDescent="0.25">
      <c r="B4" s="295"/>
      <c r="C4" s="367" t="s">
        <v>153</v>
      </c>
      <c r="D4" s="375"/>
      <c r="E4" s="369" t="s">
        <v>154</v>
      </c>
      <c r="F4" s="370"/>
      <c r="G4" s="367" t="s">
        <v>153</v>
      </c>
      <c r="H4" s="368"/>
      <c r="I4" s="369" t="s">
        <v>154</v>
      </c>
      <c r="J4" s="370"/>
      <c r="K4" s="367" t="s">
        <v>153</v>
      </c>
      <c r="L4" s="368"/>
      <c r="M4" s="369" t="s">
        <v>154</v>
      </c>
      <c r="N4" s="370"/>
      <c r="O4" s="367" t="s">
        <v>153</v>
      </c>
      <c r="P4" s="368"/>
      <c r="Q4" s="369" t="s">
        <v>154</v>
      </c>
      <c r="R4" s="370"/>
      <c r="S4" s="367" t="s">
        <v>153</v>
      </c>
      <c r="T4" s="368"/>
      <c r="U4" s="369" t="s">
        <v>154</v>
      </c>
      <c r="V4" s="370"/>
      <c r="W4" s="368" t="s">
        <v>153</v>
      </c>
      <c r="X4" s="368"/>
      <c r="Y4" s="369" t="s">
        <v>154</v>
      </c>
      <c r="Z4" s="370"/>
      <c r="AA4" s="295"/>
    </row>
    <row r="5" spans="2:27" ht="15.6" thickBot="1" x14ac:dyDescent="0.3">
      <c r="B5" s="295"/>
      <c r="C5" s="133" t="s">
        <v>155</v>
      </c>
      <c r="D5" s="134" t="s">
        <v>156</v>
      </c>
      <c r="E5" s="134" t="s">
        <v>155</v>
      </c>
      <c r="F5" s="135" t="s">
        <v>156</v>
      </c>
      <c r="G5" s="133" t="s">
        <v>155</v>
      </c>
      <c r="H5" s="134" t="s">
        <v>156</v>
      </c>
      <c r="I5" s="134" t="s">
        <v>155</v>
      </c>
      <c r="J5" s="135" t="s">
        <v>156</v>
      </c>
      <c r="K5" s="133" t="s">
        <v>155</v>
      </c>
      <c r="L5" s="134" t="s">
        <v>156</v>
      </c>
      <c r="M5" s="134" t="s">
        <v>155</v>
      </c>
      <c r="N5" s="135" t="s">
        <v>156</v>
      </c>
      <c r="O5" s="133" t="s">
        <v>155</v>
      </c>
      <c r="P5" s="134" t="s">
        <v>156</v>
      </c>
      <c r="Q5" s="134" t="s">
        <v>155</v>
      </c>
      <c r="R5" s="135" t="s">
        <v>156</v>
      </c>
      <c r="S5" s="133" t="s">
        <v>155</v>
      </c>
      <c r="T5" s="134" t="s">
        <v>156</v>
      </c>
      <c r="U5" s="134" t="s">
        <v>155</v>
      </c>
      <c r="V5" s="135" t="s">
        <v>156</v>
      </c>
      <c r="W5" s="134" t="s">
        <v>155</v>
      </c>
      <c r="X5" s="134" t="s">
        <v>156</v>
      </c>
      <c r="Y5" s="134" t="s">
        <v>155</v>
      </c>
      <c r="Z5" s="135" t="s">
        <v>156</v>
      </c>
      <c r="AA5" s="295"/>
    </row>
    <row r="6" spans="2:27" ht="16.2" thickTop="1" thickBot="1" x14ac:dyDescent="0.3">
      <c r="B6" s="295"/>
      <c r="C6" s="246">
        <f>E6/12</f>
        <v>4339.4229024943315</v>
      </c>
      <c r="D6" s="250">
        <f>F6/12</f>
        <v>303759.60317460325</v>
      </c>
      <c r="E6" s="248">
        <f>'Costos, Gastos y Precio'!$I$32 / ('Costos, Gastos y Precio'!$H$41 - 'Costos, Gastos y Precio'!$B$10)</f>
        <v>52073.074829931982</v>
      </c>
      <c r="F6" s="249">
        <f>E6 * 'Costos, Gastos y Precio'!$H$41</f>
        <v>3645115.2380952388</v>
      </c>
      <c r="G6" s="246">
        <f>I6/12</f>
        <v>4499.5258545918368</v>
      </c>
      <c r="H6" s="247">
        <f>J6/12</f>
        <v>325990.64816517854</v>
      </c>
      <c r="I6" s="248">
        <f>'Costos, Gastos y Precio'!$Q$32 / ('Costos, Gastos y Precio'!$P$41 - 'Costos, Gastos y Precio'!$D$10)</f>
        <v>53994.310255102042</v>
      </c>
      <c r="J6" s="249">
        <f>I6 * 'Costos, Gastos y Precio'!$P$41</f>
        <v>3911887.7779821423</v>
      </c>
      <c r="K6" s="246">
        <f>M6/12</f>
        <v>4648.162390285539</v>
      </c>
      <c r="L6" s="247">
        <f>N6/12</f>
        <v>348545.94295735378</v>
      </c>
      <c r="M6" s="248">
        <f>'Costos, Gastos y Precio'!$Y$32 / ('Costos, Gastos y Precio'!$X$41 - 'Costos, Gastos y Precio'!$F$10)</f>
        <v>55777.948683426468</v>
      </c>
      <c r="N6" s="249">
        <f>M6 * 'Costos, Gastos y Precio'!$X$41</f>
        <v>4182551.3154882453</v>
      </c>
      <c r="O6" s="246">
        <f>Q6/12</f>
        <v>4793.0970766686578</v>
      </c>
      <c r="P6" s="247">
        <f>R6/12</f>
        <v>371993.46838589496</v>
      </c>
      <c r="Q6" s="248">
        <f>'Costos, Gastos y Precio'!$AG$32 / ('Costos, Gastos y Precio'!AF41 - 'Costos, Gastos y Precio'!$H$10)</f>
        <v>57517.164920023897</v>
      </c>
      <c r="R6" s="249">
        <f>Q6 * 'Costos, Gastos y Precio'!$AF$41</f>
        <v>4463921.6206307393</v>
      </c>
      <c r="S6" s="246">
        <f>U6/12</f>
        <v>4933.4687157539729</v>
      </c>
      <c r="T6" s="247">
        <f>V6/12</f>
        <v>396288.81769340934</v>
      </c>
      <c r="U6" s="248">
        <f>'Costos, Gastos y Precio'!$AO$32 / ('Costos, Gastos y Precio'!$AN$41 - 'Costos, Gastos y Precio'!$J$10)</f>
        <v>59201.624589047678</v>
      </c>
      <c r="V6" s="249">
        <f>U6 * 'Costos, Gastos y Precio'!$AN$41</f>
        <v>4755465.8123209123</v>
      </c>
      <c r="W6" s="242">
        <f>Y6/12</f>
        <v>5068.4468866679235</v>
      </c>
      <c r="X6" s="243">
        <f>Z6/12</f>
        <v>421380.74707358197</v>
      </c>
      <c r="Y6" s="244">
        <f>'Costos, Gastos y Precio'!$AW$32 / ('Costos, Gastos y Precio'!$AV$41 - 'Costos, Gastos y Precio'!$L$10)</f>
        <v>60821.362640015082</v>
      </c>
      <c r="Z6" s="245">
        <f>Y6 * 'Costos, Gastos y Precio'!$AV$41</f>
        <v>5056568.9648829838</v>
      </c>
      <c r="AA6" s="295"/>
    </row>
    <row r="7" spans="2:27" x14ac:dyDescent="0.25">
      <c r="B7" s="295"/>
      <c r="C7" s="295"/>
      <c r="D7" s="295"/>
      <c r="E7" s="295"/>
      <c r="F7" s="295"/>
      <c r="G7" s="295"/>
      <c r="H7" s="295"/>
      <c r="I7" s="295"/>
      <c r="J7" s="295"/>
      <c r="K7" s="295"/>
      <c r="L7" s="295"/>
      <c r="M7" s="295"/>
      <c r="N7" s="295"/>
      <c r="O7" s="295"/>
      <c r="P7" s="295"/>
      <c r="Q7" s="295"/>
      <c r="R7" s="295"/>
      <c r="S7" s="295"/>
      <c r="T7" s="295"/>
      <c r="U7" s="295"/>
      <c r="V7" s="295"/>
      <c r="W7" s="295"/>
      <c r="X7" s="295"/>
      <c r="Y7" s="295"/>
      <c r="Z7" s="295"/>
      <c r="AA7" s="295"/>
    </row>
  </sheetData>
  <mergeCells count="19">
    <mergeCell ref="C2:E2"/>
    <mergeCell ref="C3:F3"/>
    <mergeCell ref="C4:D4"/>
    <mergeCell ref="E4:F4"/>
    <mergeCell ref="G3:J3"/>
    <mergeCell ref="G4:H4"/>
    <mergeCell ref="I4:J4"/>
    <mergeCell ref="K4:L4"/>
    <mergeCell ref="M4:N4"/>
    <mergeCell ref="O4:P4"/>
    <mergeCell ref="W3:Z3"/>
    <mergeCell ref="W4:X4"/>
    <mergeCell ref="Y4:Z4"/>
    <mergeCell ref="K3:N3"/>
    <mergeCell ref="O3:R3"/>
    <mergeCell ref="S3:V3"/>
    <mergeCell ref="Q4:R4"/>
    <mergeCell ref="S4:T4"/>
    <mergeCell ref="U4:V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396C6-1CB5-4169-B6B1-4954DF4A8838}">
  <sheetPr codeName="Hoja3">
    <pageSetUpPr fitToPage="1"/>
  </sheetPr>
  <dimension ref="B2:N30"/>
  <sheetViews>
    <sheetView workbookViewId="0">
      <selection activeCell="C2" sqref="C2"/>
    </sheetView>
  </sheetViews>
  <sheetFormatPr baseColWidth="10" defaultColWidth="11.54296875" defaultRowHeight="15" x14ac:dyDescent="0.25"/>
  <cols>
    <col min="1" max="7" width="11.54296875" style="272"/>
    <col min="8" max="8" width="17.54296875" style="272" customWidth="1"/>
    <col min="9" max="10" width="11.54296875" style="272"/>
    <col min="11" max="11" width="18.36328125" style="272" customWidth="1"/>
    <col min="12" max="12" width="16.08984375" style="272" customWidth="1"/>
    <col min="13" max="16384" width="11.54296875" style="272"/>
  </cols>
  <sheetData>
    <row r="2" spans="2:14" x14ac:dyDescent="0.25">
      <c r="B2" s="297"/>
      <c r="C2" s="297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</row>
    <row r="3" spans="2:14" ht="15.6" x14ac:dyDescent="0.25">
      <c r="B3" s="297"/>
      <c r="C3" s="261"/>
      <c r="D3" s="261"/>
      <c r="E3" s="351" t="s">
        <v>157</v>
      </c>
      <c r="F3" s="351"/>
      <c r="G3" s="351"/>
      <c r="H3" s="261"/>
      <c r="I3" s="297"/>
      <c r="J3" s="297"/>
      <c r="K3" s="297"/>
      <c r="L3" s="297"/>
      <c r="M3" s="297"/>
      <c r="N3" s="297"/>
    </row>
    <row r="4" spans="2:14" ht="31.2" x14ac:dyDescent="0.25">
      <c r="B4" s="297"/>
      <c r="C4" s="52"/>
      <c r="D4" s="52" t="s">
        <v>158</v>
      </c>
      <c r="E4" s="52" t="s">
        <v>159</v>
      </c>
      <c r="F4" s="52" t="s">
        <v>160</v>
      </c>
      <c r="G4" s="52" t="s">
        <v>161</v>
      </c>
      <c r="H4" s="52" t="s">
        <v>162</v>
      </c>
      <c r="I4" s="297"/>
      <c r="J4" s="297"/>
      <c r="K4" s="297"/>
      <c r="L4" s="297"/>
      <c r="M4" s="297"/>
      <c r="N4" s="297"/>
    </row>
    <row r="5" spans="2:14" x14ac:dyDescent="0.25">
      <c r="B5" s="297"/>
      <c r="C5" s="255">
        <v>43739</v>
      </c>
      <c r="D5" s="59">
        <v>0</v>
      </c>
      <c r="E5" s="53"/>
      <c r="F5" s="53"/>
      <c r="G5" s="53"/>
      <c r="H5" s="53">
        <f>L7</f>
        <v>519542</v>
      </c>
      <c r="I5" s="298"/>
      <c r="J5" s="297"/>
      <c r="K5" s="297"/>
      <c r="L5" s="297"/>
      <c r="M5" s="297"/>
      <c r="N5" s="297"/>
    </row>
    <row r="6" spans="2:14" ht="15.6" x14ac:dyDescent="0.3">
      <c r="B6" s="297"/>
      <c r="C6" s="255">
        <v>43770</v>
      </c>
      <c r="D6" s="54">
        <v>1</v>
      </c>
      <c r="E6" s="55">
        <f>(H5/12)*$K$7</f>
        <v>8659.0333333333328</v>
      </c>
      <c r="F6" s="55">
        <f t="shared" ref="F6" si="0">IF(D6&lt;=$M$7,($L$7*($K$7/12)*(((1+($K$7/12))^$M$7)/(((1+($K$7/12))^$M$7)-1))),0)</f>
        <v>26442.507096873676</v>
      </c>
      <c r="G6" s="55">
        <f>F6-E6</f>
        <v>17783.473763540343</v>
      </c>
      <c r="H6" s="55">
        <f>H5-G6</f>
        <v>501758.52623645967</v>
      </c>
      <c r="I6" s="298"/>
      <c r="J6" s="336">
        <v>519542</v>
      </c>
      <c r="K6" s="37" t="s">
        <v>163</v>
      </c>
      <c r="L6" s="37" t="s">
        <v>164</v>
      </c>
      <c r="M6" s="261" t="s">
        <v>117</v>
      </c>
      <c r="N6" s="297"/>
    </row>
    <row r="7" spans="2:14" x14ac:dyDescent="0.25">
      <c r="B7" s="297"/>
      <c r="C7" s="255">
        <v>43800</v>
      </c>
      <c r="D7" s="54">
        <v>2</v>
      </c>
      <c r="E7" s="55">
        <f t="shared" ref="E7:E29" si="1">(H6/12)*$K$7</f>
        <v>8362.6421039409961</v>
      </c>
      <c r="F7" s="55">
        <f t="shared" ref="F7:F29" si="2">IF(D7&lt;=$M$7,($L$7*($K$7/12)*(((1+($K$7/12))^$M$7)/(((1+($K$7/12))^$M$7)-1))),0)</f>
        <v>26442.507096873676</v>
      </c>
      <c r="G7" s="55">
        <f>F7-E7</f>
        <v>18079.864992932678</v>
      </c>
      <c r="H7" s="55">
        <f>H6-G7</f>
        <v>483678.66124352696</v>
      </c>
      <c r="I7" s="298"/>
      <c r="J7" s="297"/>
      <c r="K7" s="56">
        <v>0.2</v>
      </c>
      <c r="L7" s="296">
        <v>519542</v>
      </c>
      <c r="M7" s="57">
        <v>24</v>
      </c>
      <c r="N7" s="297"/>
    </row>
    <row r="8" spans="2:14" x14ac:dyDescent="0.25">
      <c r="B8" s="297"/>
      <c r="C8" s="255">
        <v>43831</v>
      </c>
      <c r="D8" s="54">
        <v>3</v>
      </c>
      <c r="E8" s="55">
        <f t="shared" si="1"/>
        <v>8061.3110207254495</v>
      </c>
      <c r="F8" s="55">
        <f t="shared" si="2"/>
        <v>26442.507096873676</v>
      </c>
      <c r="G8" s="55">
        <f t="shared" ref="G8:G29" si="3">F8-E8</f>
        <v>18381.196076148226</v>
      </c>
      <c r="H8" s="55">
        <f t="shared" ref="H8:H29" si="4">H7-G8</f>
        <v>465297.46516737872</v>
      </c>
      <c r="I8" s="298"/>
      <c r="J8" s="297"/>
      <c r="K8" s="297"/>
      <c r="L8" s="297"/>
      <c r="M8" s="297"/>
      <c r="N8" s="297"/>
    </row>
    <row r="9" spans="2:14" x14ac:dyDescent="0.25">
      <c r="B9" s="297"/>
      <c r="C9" s="255">
        <v>43862</v>
      </c>
      <c r="D9" s="54">
        <v>4</v>
      </c>
      <c r="E9" s="55">
        <f t="shared" si="1"/>
        <v>7754.9577527896463</v>
      </c>
      <c r="F9" s="55">
        <f t="shared" si="2"/>
        <v>26442.507096873676</v>
      </c>
      <c r="G9" s="55">
        <f t="shared" si="3"/>
        <v>18687.549344084029</v>
      </c>
      <c r="H9" s="55">
        <f t="shared" si="4"/>
        <v>446609.91582329466</v>
      </c>
      <c r="I9" s="298"/>
      <c r="J9" s="297"/>
      <c r="K9" s="297"/>
      <c r="L9" s="297"/>
      <c r="M9" s="297"/>
      <c r="N9" s="297"/>
    </row>
    <row r="10" spans="2:14" x14ac:dyDescent="0.25">
      <c r="B10" s="297"/>
      <c r="C10" s="255">
        <v>43891</v>
      </c>
      <c r="D10" s="54">
        <v>5</v>
      </c>
      <c r="E10" s="55">
        <f t="shared" si="1"/>
        <v>7443.4985970549114</v>
      </c>
      <c r="F10" s="55">
        <f t="shared" si="2"/>
        <v>26442.507096873676</v>
      </c>
      <c r="G10" s="55">
        <f t="shared" si="3"/>
        <v>18999.008499818767</v>
      </c>
      <c r="H10" s="55">
        <f t="shared" si="4"/>
        <v>427610.90732347593</v>
      </c>
      <c r="I10" s="298"/>
      <c r="J10" s="297"/>
      <c r="K10" s="297"/>
      <c r="L10" s="297"/>
      <c r="M10" s="297"/>
      <c r="N10" s="297"/>
    </row>
    <row r="11" spans="2:14" x14ac:dyDescent="0.25">
      <c r="B11" s="297"/>
      <c r="C11" s="255">
        <v>43922</v>
      </c>
      <c r="D11" s="54">
        <v>6</v>
      </c>
      <c r="E11" s="55">
        <f t="shared" si="1"/>
        <v>7126.8484553912658</v>
      </c>
      <c r="F11" s="55">
        <f t="shared" si="2"/>
        <v>26442.507096873676</v>
      </c>
      <c r="G11" s="55">
        <f t="shared" si="3"/>
        <v>19315.658641482412</v>
      </c>
      <c r="H11" s="55">
        <f t="shared" si="4"/>
        <v>408295.24868199351</v>
      </c>
      <c r="I11" s="298"/>
      <c r="J11" s="297"/>
      <c r="K11" s="297"/>
      <c r="L11" s="297"/>
      <c r="M11" s="297"/>
      <c r="N11" s="297"/>
    </row>
    <row r="12" spans="2:14" x14ac:dyDescent="0.25">
      <c r="B12" s="297"/>
      <c r="C12" s="255">
        <v>43952</v>
      </c>
      <c r="D12" s="54">
        <v>7</v>
      </c>
      <c r="E12" s="55">
        <f t="shared" si="1"/>
        <v>6804.9208113665591</v>
      </c>
      <c r="F12" s="55">
        <f t="shared" si="2"/>
        <v>26442.507096873676</v>
      </c>
      <c r="G12" s="55">
        <f t="shared" si="3"/>
        <v>19637.586285507117</v>
      </c>
      <c r="H12" s="55">
        <f t="shared" si="4"/>
        <v>388657.66239648638</v>
      </c>
      <c r="I12" s="298"/>
      <c r="J12" s="297"/>
      <c r="K12" s="299"/>
      <c r="L12" s="297"/>
      <c r="M12" s="297"/>
      <c r="N12" s="297"/>
    </row>
    <row r="13" spans="2:14" x14ac:dyDescent="0.25">
      <c r="B13" s="297"/>
      <c r="C13" s="255">
        <v>43983</v>
      </c>
      <c r="D13" s="54">
        <v>8</v>
      </c>
      <c r="E13" s="55">
        <f t="shared" si="1"/>
        <v>6477.6277066081066</v>
      </c>
      <c r="F13" s="55">
        <f t="shared" si="2"/>
        <v>26442.507096873676</v>
      </c>
      <c r="G13" s="55">
        <f t="shared" si="3"/>
        <v>19964.879390265571</v>
      </c>
      <c r="H13" s="55">
        <f t="shared" si="4"/>
        <v>368692.78300622082</v>
      </c>
      <c r="I13" s="298"/>
      <c r="J13" s="297"/>
      <c r="K13" s="297"/>
      <c r="L13" s="297"/>
      <c r="M13" s="297"/>
      <c r="N13" s="297"/>
    </row>
    <row r="14" spans="2:14" x14ac:dyDescent="0.25">
      <c r="B14" s="297"/>
      <c r="C14" s="255">
        <v>44013</v>
      </c>
      <c r="D14" s="54">
        <v>9</v>
      </c>
      <c r="E14" s="55">
        <f t="shared" si="1"/>
        <v>6144.8797167703478</v>
      </c>
      <c r="F14" s="55">
        <f t="shared" si="2"/>
        <v>26442.507096873676</v>
      </c>
      <c r="G14" s="55">
        <f t="shared" si="3"/>
        <v>20297.627380103328</v>
      </c>
      <c r="H14" s="55">
        <f t="shared" si="4"/>
        <v>348395.15562611748</v>
      </c>
      <c r="I14" s="298"/>
      <c r="J14" s="297"/>
      <c r="K14" s="297"/>
      <c r="L14" s="297"/>
      <c r="M14" s="297"/>
      <c r="N14" s="297"/>
    </row>
    <row r="15" spans="2:14" x14ac:dyDescent="0.25">
      <c r="B15" s="297"/>
      <c r="C15" s="255">
        <v>44044</v>
      </c>
      <c r="D15" s="54">
        <v>10</v>
      </c>
      <c r="E15" s="55">
        <f t="shared" si="1"/>
        <v>5806.5859271019581</v>
      </c>
      <c r="F15" s="55">
        <f t="shared" si="2"/>
        <v>26442.507096873676</v>
      </c>
      <c r="G15" s="55">
        <f t="shared" si="3"/>
        <v>20635.921169771718</v>
      </c>
      <c r="H15" s="55">
        <f t="shared" si="4"/>
        <v>327759.23445634579</v>
      </c>
      <c r="I15" s="298"/>
      <c r="J15" s="297"/>
      <c r="K15" s="297"/>
      <c r="L15" s="297"/>
      <c r="M15" s="297"/>
      <c r="N15" s="297"/>
    </row>
    <row r="16" spans="2:14" x14ac:dyDescent="0.25">
      <c r="B16" s="297"/>
      <c r="C16" s="255">
        <v>44075</v>
      </c>
      <c r="D16" s="54">
        <v>11</v>
      </c>
      <c r="E16" s="55">
        <f t="shared" si="1"/>
        <v>5462.6539076057634</v>
      </c>
      <c r="F16" s="55">
        <f t="shared" si="2"/>
        <v>26442.507096873676</v>
      </c>
      <c r="G16" s="55">
        <f t="shared" si="3"/>
        <v>20979.853189267913</v>
      </c>
      <c r="H16" s="55">
        <f t="shared" si="4"/>
        <v>306779.38126707787</v>
      </c>
      <c r="I16" s="298"/>
      <c r="J16" s="297"/>
      <c r="K16" s="297"/>
      <c r="L16" s="297"/>
      <c r="M16" s="297"/>
      <c r="N16" s="297"/>
    </row>
    <row r="17" spans="2:14" x14ac:dyDescent="0.25">
      <c r="B17" s="297"/>
      <c r="C17" s="255">
        <v>44105</v>
      </c>
      <c r="D17" s="54">
        <v>12</v>
      </c>
      <c r="E17" s="55">
        <f t="shared" si="1"/>
        <v>5112.9896877846313</v>
      </c>
      <c r="F17" s="55">
        <f t="shared" si="2"/>
        <v>26442.507096873676</v>
      </c>
      <c r="G17" s="55">
        <f t="shared" si="3"/>
        <v>21329.517409089043</v>
      </c>
      <c r="H17" s="55">
        <f t="shared" si="4"/>
        <v>285449.86385798885</v>
      </c>
      <c r="I17" s="298"/>
      <c r="J17" s="297"/>
      <c r="K17" s="297"/>
      <c r="L17" s="297"/>
      <c r="M17" s="297"/>
      <c r="N17" s="297"/>
    </row>
    <row r="18" spans="2:14" x14ac:dyDescent="0.25">
      <c r="B18" s="297"/>
      <c r="C18" s="255">
        <v>44136</v>
      </c>
      <c r="D18" s="54">
        <v>13</v>
      </c>
      <c r="E18" s="55">
        <f t="shared" si="1"/>
        <v>4757.497730966481</v>
      </c>
      <c r="F18" s="55">
        <f t="shared" si="2"/>
        <v>26442.507096873676</v>
      </c>
      <c r="G18" s="55">
        <f t="shared" si="3"/>
        <v>21685.009365907194</v>
      </c>
      <c r="H18" s="55">
        <f t="shared" si="4"/>
        <v>263764.85449208168</v>
      </c>
      <c r="I18" s="297"/>
      <c r="J18" s="297"/>
      <c r="K18" s="297"/>
      <c r="L18" s="297"/>
      <c r="M18" s="297"/>
      <c r="N18" s="297"/>
    </row>
    <row r="19" spans="2:14" x14ac:dyDescent="0.25">
      <c r="B19" s="297"/>
      <c r="C19" s="255">
        <v>44166</v>
      </c>
      <c r="D19" s="54">
        <v>14</v>
      </c>
      <c r="E19" s="55">
        <f t="shared" si="1"/>
        <v>4396.0809082013611</v>
      </c>
      <c r="F19" s="55">
        <f t="shared" si="2"/>
        <v>26442.507096873676</v>
      </c>
      <c r="G19" s="55">
        <f t="shared" si="3"/>
        <v>22046.426188672314</v>
      </c>
      <c r="H19" s="55">
        <f t="shared" si="4"/>
        <v>241718.42830340937</v>
      </c>
      <c r="I19" s="299"/>
      <c r="J19" s="297"/>
      <c r="K19" s="297"/>
      <c r="L19" s="297"/>
      <c r="M19" s="297"/>
      <c r="N19" s="297"/>
    </row>
    <row r="20" spans="2:14" x14ac:dyDescent="0.25">
      <c r="B20" s="297"/>
      <c r="C20" s="255">
        <v>44197</v>
      </c>
      <c r="D20" s="54">
        <v>15</v>
      </c>
      <c r="E20" s="55">
        <f t="shared" si="1"/>
        <v>4028.6404717234896</v>
      </c>
      <c r="F20" s="55">
        <f t="shared" si="2"/>
        <v>26442.507096873676</v>
      </c>
      <c r="G20" s="55">
        <f t="shared" si="3"/>
        <v>22413.866625150185</v>
      </c>
      <c r="H20" s="55">
        <f t="shared" si="4"/>
        <v>219304.56167825917</v>
      </c>
      <c r="I20" s="297"/>
      <c r="J20" s="297"/>
      <c r="K20" s="297"/>
      <c r="L20" s="297"/>
      <c r="M20" s="297"/>
      <c r="N20" s="297"/>
    </row>
    <row r="21" spans="2:14" x14ac:dyDescent="0.25">
      <c r="B21" s="297"/>
      <c r="C21" s="255">
        <v>44228</v>
      </c>
      <c r="D21" s="54">
        <v>16</v>
      </c>
      <c r="E21" s="55">
        <f t="shared" si="1"/>
        <v>3655.0760279709862</v>
      </c>
      <c r="F21" s="55">
        <f t="shared" si="2"/>
        <v>26442.507096873676</v>
      </c>
      <c r="G21" s="55">
        <f t="shared" si="3"/>
        <v>22787.43106890269</v>
      </c>
      <c r="H21" s="55">
        <f t="shared" si="4"/>
        <v>196517.13060935648</v>
      </c>
      <c r="I21" s="297"/>
      <c r="J21" s="297"/>
      <c r="K21" s="297"/>
      <c r="L21" s="297"/>
      <c r="M21" s="297"/>
      <c r="N21" s="297"/>
    </row>
    <row r="22" spans="2:14" x14ac:dyDescent="0.25">
      <c r="B22" s="297"/>
      <c r="C22" s="255">
        <v>44256</v>
      </c>
      <c r="D22" s="54">
        <v>17</v>
      </c>
      <c r="E22" s="55">
        <f t="shared" si="1"/>
        <v>3275.2855101559417</v>
      </c>
      <c r="F22" s="55">
        <f t="shared" si="2"/>
        <v>26442.507096873676</v>
      </c>
      <c r="G22" s="55">
        <f t="shared" si="3"/>
        <v>23167.221586717736</v>
      </c>
      <c r="H22" s="55">
        <f t="shared" si="4"/>
        <v>173349.90902263875</v>
      </c>
      <c r="I22" s="297"/>
      <c r="J22" s="297"/>
      <c r="K22" s="297"/>
      <c r="L22" s="297"/>
      <c r="M22" s="297"/>
      <c r="N22" s="297"/>
    </row>
    <row r="23" spans="2:14" x14ac:dyDescent="0.25">
      <c r="B23" s="297"/>
      <c r="C23" s="255">
        <v>44287</v>
      </c>
      <c r="D23" s="54">
        <v>18</v>
      </c>
      <c r="E23" s="55">
        <f t="shared" si="1"/>
        <v>2889.1651503773128</v>
      </c>
      <c r="F23" s="55">
        <f t="shared" si="2"/>
        <v>26442.507096873676</v>
      </c>
      <c r="G23" s="55">
        <f t="shared" si="3"/>
        <v>23553.341946496363</v>
      </c>
      <c r="H23" s="55">
        <f t="shared" si="4"/>
        <v>149796.56707614238</v>
      </c>
      <c r="I23" s="299"/>
      <c r="J23" s="297"/>
      <c r="K23" s="297"/>
      <c r="L23" s="297"/>
      <c r="M23" s="297"/>
      <c r="N23" s="297"/>
    </row>
    <row r="24" spans="2:14" x14ac:dyDescent="0.25">
      <c r="B24" s="297"/>
      <c r="C24" s="255">
        <v>44317</v>
      </c>
      <c r="D24" s="54">
        <v>19</v>
      </c>
      <c r="E24" s="55">
        <f t="shared" si="1"/>
        <v>2496.6094512690397</v>
      </c>
      <c r="F24" s="55">
        <f t="shared" si="2"/>
        <v>26442.507096873676</v>
      </c>
      <c r="G24" s="55">
        <f t="shared" si="3"/>
        <v>23945.897645604637</v>
      </c>
      <c r="H24" s="55">
        <f t="shared" si="4"/>
        <v>125850.66943053775</v>
      </c>
      <c r="I24" s="297"/>
      <c r="J24" s="297"/>
      <c r="K24" s="297"/>
      <c r="L24" s="297"/>
      <c r="M24" s="297"/>
      <c r="N24" s="297"/>
    </row>
    <row r="25" spans="2:14" x14ac:dyDescent="0.25">
      <c r="B25" s="297"/>
      <c r="C25" s="255">
        <v>44348</v>
      </c>
      <c r="D25" s="54">
        <v>20</v>
      </c>
      <c r="E25" s="55">
        <f t="shared" si="1"/>
        <v>2097.5111571756293</v>
      </c>
      <c r="F25" s="55">
        <f t="shared" si="2"/>
        <v>26442.507096873676</v>
      </c>
      <c r="G25" s="55">
        <f t="shared" si="3"/>
        <v>24344.995939698048</v>
      </c>
      <c r="H25" s="55">
        <f t="shared" si="4"/>
        <v>101505.67349083969</v>
      </c>
      <c r="I25" s="297"/>
      <c r="J25" s="297"/>
      <c r="K25" s="297"/>
      <c r="L25" s="297"/>
      <c r="M25" s="297"/>
      <c r="N25" s="297"/>
    </row>
    <row r="26" spans="2:14" x14ac:dyDescent="0.25">
      <c r="B26" s="297"/>
      <c r="C26" s="255">
        <v>44378</v>
      </c>
      <c r="D26" s="54">
        <v>21</v>
      </c>
      <c r="E26" s="55">
        <f t="shared" si="1"/>
        <v>1691.7612248473281</v>
      </c>
      <c r="F26" s="55">
        <f t="shared" si="2"/>
        <v>26442.507096873676</v>
      </c>
      <c r="G26" s="55">
        <f t="shared" si="3"/>
        <v>24750.745872026349</v>
      </c>
      <c r="H26" s="55">
        <f t="shared" si="4"/>
        <v>76754.927618813337</v>
      </c>
      <c r="I26" s="297"/>
      <c r="J26" s="297"/>
      <c r="K26" s="297"/>
      <c r="L26" s="297"/>
      <c r="M26" s="297"/>
      <c r="N26" s="297"/>
    </row>
    <row r="27" spans="2:14" x14ac:dyDescent="0.25">
      <c r="B27" s="297"/>
      <c r="C27" s="255">
        <v>44409</v>
      </c>
      <c r="D27" s="54">
        <v>22</v>
      </c>
      <c r="E27" s="55">
        <f t="shared" si="1"/>
        <v>1279.248793646889</v>
      </c>
      <c r="F27" s="55">
        <f t="shared" si="2"/>
        <v>26442.507096873676</v>
      </c>
      <c r="G27" s="55">
        <f t="shared" si="3"/>
        <v>25163.258303226787</v>
      </c>
      <c r="H27" s="55">
        <f t="shared" si="4"/>
        <v>51591.669315586551</v>
      </c>
      <c r="I27" s="297"/>
      <c r="J27" s="297"/>
      <c r="K27" s="297"/>
      <c r="L27" s="297"/>
      <c r="M27" s="297"/>
      <c r="N27" s="297"/>
    </row>
    <row r="28" spans="2:14" x14ac:dyDescent="0.25">
      <c r="B28" s="297"/>
      <c r="C28" s="255">
        <v>44440</v>
      </c>
      <c r="D28" s="54">
        <v>23</v>
      </c>
      <c r="E28" s="55">
        <f t="shared" si="1"/>
        <v>859.86115525977584</v>
      </c>
      <c r="F28" s="55">
        <f t="shared" si="2"/>
        <v>26442.507096873676</v>
      </c>
      <c r="G28" s="55">
        <f t="shared" si="3"/>
        <v>25582.645941613901</v>
      </c>
      <c r="H28" s="55">
        <f t="shared" si="4"/>
        <v>26009.02337397265</v>
      </c>
      <c r="I28" s="297"/>
      <c r="J28" s="297"/>
      <c r="K28" s="297"/>
      <c r="L28" s="297"/>
      <c r="M28" s="297"/>
      <c r="N28" s="297"/>
    </row>
    <row r="29" spans="2:14" x14ac:dyDescent="0.25">
      <c r="B29" s="297"/>
      <c r="C29" s="255">
        <v>44470</v>
      </c>
      <c r="D29" s="54">
        <v>24</v>
      </c>
      <c r="E29" s="55">
        <f t="shared" si="1"/>
        <v>433.48372289954415</v>
      </c>
      <c r="F29" s="55">
        <f t="shared" si="2"/>
        <v>26442.507096873676</v>
      </c>
      <c r="G29" s="55">
        <f t="shared" si="3"/>
        <v>26009.023373974131</v>
      </c>
      <c r="H29" s="55">
        <f t="shared" si="4"/>
        <v>-1.4806573744863272E-9</v>
      </c>
      <c r="I29" s="297"/>
      <c r="J29" s="297"/>
      <c r="K29" s="297"/>
      <c r="L29" s="297"/>
      <c r="M29" s="297"/>
      <c r="N29" s="297"/>
    </row>
    <row r="30" spans="2:14" x14ac:dyDescent="0.25">
      <c r="B30" s="297"/>
      <c r="C30" s="297"/>
      <c r="D30" s="297"/>
      <c r="E30" s="297"/>
      <c r="F30" s="297"/>
      <c r="G30" s="297"/>
      <c r="H30" s="297"/>
      <c r="I30" s="297"/>
      <c r="J30" s="297"/>
      <c r="K30" s="297"/>
      <c r="L30" s="297"/>
      <c r="M30" s="297"/>
      <c r="N30" s="297"/>
    </row>
  </sheetData>
  <mergeCells count="1">
    <mergeCell ref="E3:G3"/>
  </mergeCells>
  <conditionalFormatting sqref="L7">
    <cfRule type="cellIs" dxfId="4" priority="5" operator="equal">
      <formula>105243</formula>
    </cfRule>
  </conditionalFormatting>
  <pageMargins left="0.7" right="0.7" top="0.75" bottom="0.75" header="0.3" footer="0.3"/>
  <pageSetup scale="77" fitToHeight="0" orientation="landscape" horizontalDpi="4294967292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EBCE7-E251-4F29-A436-A7A789D4DD96}">
  <sheetPr codeName="Hoja9"/>
  <dimension ref="B3:Z41"/>
  <sheetViews>
    <sheetView workbookViewId="0">
      <selection activeCell="B1" sqref="B1"/>
    </sheetView>
  </sheetViews>
  <sheetFormatPr baseColWidth="10" defaultColWidth="11.54296875" defaultRowHeight="15" x14ac:dyDescent="0.25"/>
  <cols>
    <col min="1" max="1" width="11.54296875" style="272"/>
    <col min="2" max="2" width="5.90625" style="272" customWidth="1"/>
    <col min="3" max="3" width="17.90625" style="272" customWidth="1"/>
    <col min="4" max="4" width="11.81640625" style="272" customWidth="1"/>
    <col min="5" max="5" width="12.08984375" style="272" customWidth="1"/>
    <col min="6" max="6" width="11.54296875" style="272"/>
    <col min="7" max="7" width="18.1796875" style="272" customWidth="1"/>
    <col min="8" max="8" width="10.90625" style="272" customWidth="1"/>
    <col min="9" max="9" width="13.453125" style="272" bestFit="1" customWidth="1"/>
    <col min="10" max="10" width="11.54296875" style="272"/>
    <col min="11" max="11" width="13.54296875" style="272" customWidth="1"/>
    <col min="12" max="12" width="15.1796875" style="272" customWidth="1"/>
    <col min="13" max="13" width="14.1796875" style="272" customWidth="1"/>
    <col min="14" max="16" width="11.54296875" style="272"/>
    <col min="17" max="17" width="29.81640625" style="272" customWidth="1"/>
    <col min="18" max="18" width="11.54296875" style="272"/>
    <col min="19" max="19" width="12.90625" style="272" customWidth="1"/>
    <col min="20" max="20" width="16.453125" style="272" customWidth="1"/>
    <col min="21" max="21" width="16.1796875" style="272" customWidth="1"/>
    <col min="22" max="24" width="11.54296875" style="272"/>
    <col min="25" max="25" width="15.453125" style="272" customWidth="1"/>
    <col min="26" max="26" width="7" style="272" customWidth="1"/>
    <col min="27" max="28" width="11.54296875" style="272"/>
    <col min="29" max="29" width="16.6328125" style="272" customWidth="1"/>
    <col min="30" max="16384" width="11.54296875" style="272"/>
  </cols>
  <sheetData>
    <row r="3" spans="2:26" ht="15.6" thickBot="1" x14ac:dyDescent="0.3">
      <c r="B3" s="304"/>
      <c r="C3" s="304"/>
      <c r="D3" s="304"/>
      <c r="E3" s="304"/>
      <c r="F3" s="304"/>
      <c r="G3" s="304"/>
      <c r="H3" s="304"/>
      <c r="I3" s="304"/>
      <c r="J3" s="304"/>
      <c r="K3" s="304"/>
      <c r="L3" s="304"/>
      <c r="M3" s="304"/>
      <c r="N3" s="304"/>
      <c r="O3" s="304"/>
      <c r="P3" s="304"/>
      <c r="Q3" s="304"/>
      <c r="R3" s="304"/>
      <c r="S3" s="304"/>
      <c r="T3" s="304"/>
      <c r="U3" s="304"/>
      <c r="V3" s="304"/>
      <c r="W3" s="304"/>
      <c r="X3" s="304"/>
      <c r="Y3" s="304"/>
      <c r="Z3" s="304"/>
    </row>
    <row r="4" spans="2:26" x14ac:dyDescent="0.25">
      <c r="B4" s="304"/>
      <c r="C4" s="376" t="s">
        <v>211</v>
      </c>
      <c r="D4" s="377"/>
      <c r="E4" s="378"/>
      <c r="F4" s="304"/>
      <c r="G4" s="376" t="s">
        <v>211</v>
      </c>
      <c r="H4" s="377"/>
      <c r="I4" s="378"/>
      <c r="J4" s="304"/>
      <c r="K4" s="376" t="s">
        <v>211</v>
      </c>
      <c r="L4" s="377"/>
      <c r="M4" s="378"/>
      <c r="N4" s="304"/>
      <c r="O4" s="376" t="s">
        <v>211</v>
      </c>
      <c r="P4" s="377"/>
      <c r="Q4" s="378"/>
      <c r="R4" s="304"/>
      <c r="S4" s="376" t="s">
        <v>211</v>
      </c>
      <c r="T4" s="377"/>
      <c r="U4" s="378"/>
      <c r="V4" s="304"/>
      <c r="W4" s="376" t="s">
        <v>211</v>
      </c>
      <c r="X4" s="377"/>
      <c r="Y4" s="378"/>
      <c r="Z4" s="304"/>
    </row>
    <row r="5" spans="2:26" ht="15.6" thickBot="1" x14ac:dyDescent="0.3">
      <c r="B5" s="304"/>
      <c r="C5" s="379" t="s">
        <v>212</v>
      </c>
      <c r="D5" s="380"/>
      <c r="E5" s="381"/>
      <c r="F5" s="304"/>
      <c r="G5" s="388" t="s">
        <v>213</v>
      </c>
      <c r="H5" s="389"/>
      <c r="I5" s="390"/>
      <c r="J5" s="304"/>
      <c r="K5" s="388" t="s">
        <v>214</v>
      </c>
      <c r="L5" s="389"/>
      <c r="M5" s="390"/>
      <c r="N5" s="304"/>
      <c r="O5" s="388" t="s">
        <v>215</v>
      </c>
      <c r="P5" s="389"/>
      <c r="Q5" s="390"/>
      <c r="R5" s="304"/>
      <c r="S5" s="388" t="s">
        <v>216</v>
      </c>
      <c r="T5" s="389"/>
      <c r="U5" s="390"/>
      <c r="V5" s="304"/>
      <c r="W5" s="388" t="s">
        <v>217</v>
      </c>
      <c r="X5" s="389"/>
      <c r="Y5" s="390"/>
      <c r="Z5" s="304"/>
    </row>
    <row r="6" spans="2:26" x14ac:dyDescent="0.25">
      <c r="B6" s="304"/>
      <c r="C6" s="382" t="s">
        <v>218</v>
      </c>
      <c r="D6" s="383"/>
      <c r="E6" s="225"/>
      <c r="F6" s="304"/>
      <c r="G6" s="382" t="s">
        <v>218</v>
      </c>
      <c r="H6" s="383"/>
      <c r="I6" s="225">
        <f>'Flujo de Efectivo'!E28</f>
        <v>20309.914837515913</v>
      </c>
      <c r="J6" s="304"/>
      <c r="K6" s="382" t="s">
        <v>218</v>
      </c>
      <c r="L6" s="383"/>
      <c r="M6" s="225">
        <f>'Flujo de Efectivo'!F28</f>
        <v>289872.46886877948</v>
      </c>
      <c r="N6" s="304"/>
      <c r="O6" s="382" t="s">
        <v>218</v>
      </c>
      <c r="P6" s="383"/>
      <c r="Q6" s="225">
        <f>'Flujo de Efectivo'!G28</f>
        <v>1017163.2282437799</v>
      </c>
      <c r="R6" s="304"/>
      <c r="S6" s="382" t="s">
        <v>218</v>
      </c>
      <c r="T6" s="383"/>
      <c r="U6" s="225">
        <f>'Flujo de Efectivo'!H28</f>
        <v>1934585.3741969052</v>
      </c>
      <c r="V6" s="304"/>
      <c r="W6" s="382" t="s">
        <v>218</v>
      </c>
      <c r="X6" s="383"/>
      <c r="Y6" s="225">
        <f>'Flujo de Efectivo'!I28</f>
        <v>3038856.1477583908</v>
      </c>
      <c r="Z6" s="304"/>
    </row>
    <row r="7" spans="2:26" x14ac:dyDescent="0.25">
      <c r="B7" s="304"/>
      <c r="C7" s="382" t="s">
        <v>219</v>
      </c>
      <c r="D7" s="383"/>
      <c r="E7" s="225">
        <f>'Flujo de Efectivo'!$D$22+'Flujo de Efectivo'!$D$11+'Flujo de Efectivo'!$D$10+'Flujo de Efectivo'!$D$19+'Flujo de Efectivo'!$D$12+'Flujo de Efectivo'!D14</f>
        <v>399405.33875647304</v>
      </c>
      <c r="F7" s="305"/>
      <c r="G7" s="382" t="s">
        <v>219</v>
      </c>
      <c r="H7" s="383"/>
      <c r="I7" s="225">
        <f>'Flujo de Efectivo'!$D$22+'Flujo de Efectivo'!$D$11+'Flujo de Efectivo'!$D$10+'Flujo de Efectivo'!$D$19+'Flujo de Efectivo'!$D$12+'Flujo de Efectivo'!E14-Depreciación!I35-'Estado de Resultados'!K17</f>
        <v>483944.8312179459</v>
      </c>
      <c r="J7" s="304"/>
      <c r="K7" s="382" t="s">
        <v>219</v>
      </c>
      <c r="L7" s="383"/>
      <c r="M7" s="225">
        <f>'Flujo de Efectivo'!$D$22+'Flujo de Efectivo'!$D$11+'Flujo de Efectivo'!$D$10+'Flujo de Efectivo'!$D$19+'Flujo de Efectivo'!$D$12+'Flujo de Efectivo'!F14-Depreciación!I35*2-'Estado de Resultados'!P17-'Estado de Resultados'!K17</f>
        <v>274991.83276410331</v>
      </c>
      <c r="N7" s="304"/>
      <c r="O7" s="382" t="s">
        <v>219</v>
      </c>
      <c r="P7" s="383"/>
      <c r="Q7" s="225">
        <f>'Flujo de Efectivo'!$D$22+'Flujo de Efectivo'!$D$11+'Flujo de Efectivo'!$D$10+'Flujo de Efectivo'!$D$19+'Flujo de Efectivo'!$D$12-Depreciación!I35*3-'Estado de Resultados'!K17-'Estado de Resultados'!P17-'Estado de Resultados'!U17</f>
        <v>-251041.21132055757</v>
      </c>
      <c r="R7" s="304"/>
      <c r="S7" s="382" t="s">
        <v>219</v>
      </c>
      <c r="T7" s="383"/>
      <c r="U7" s="225">
        <f>'Flujo de Efectivo'!$D$22+'Flujo de Efectivo'!$D$11+'Flujo de Efectivo'!$D$10+'Flujo de Efectivo'!$D$19+'Flujo de Efectivo'!$D$12-Depreciación!I35*4-'Estado de Resultados'!K17-'Estado de Resultados'!P17-'Estado de Resultados'!U17-'Estado de Resultados'!Z17</f>
        <v>-601901.81240415154</v>
      </c>
      <c r="V7" s="304"/>
      <c r="W7" s="382" t="s">
        <v>219</v>
      </c>
      <c r="X7" s="383"/>
      <c r="Y7" s="225">
        <f>'Flujo de Efectivo'!$D$22+'Flujo de Efectivo'!$D$11+'Flujo de Efectivo'!$D$10+'Flujo de Efectivo'!$D$19+'Flujo de Efectivo'!$D$12-Depreciación!I35*5-'Estado de Resultados'!K17-'Estado de Resultados'!P17-'Estado de Resultados'!U17-'Estado de Resultados'!Z17-'Estado de Resultados'!AE17</f>
        <v>-1018159.4331506713</v>
      </c>
      <c r="Z7" s="304"/>
    </row>
    <row r="8" spans="2:26" x14ac:dyDescent="0.25">
      <c r="B8" s="304"/>
      <c r="C8" s="384" t="s">
        <v>220</v>
      </c>
      <c r="D8" s="385"/>
      <c r="E8" s="223">
        <f>E7+E6</f>
        <v>399405.33875647304</v>
      </c>
      <c r="F8" s="304"/>
      <c r="G8" s="384" t="s">
        <v>220</v>
      </c>
      <c r="H8" s="385"/>
      <c r="I8" s="228">
        <f>I7+I6</f>
        <v>504254.74605546182</v>
      </c>
      <c r="J8" s="304"/>
      <c r="K8" s="384" t="s">
        <v>220</v>
      </c>
      <c r="L8" s="385"/>
      <c r="M8" s="228">
        <f>M7+M6</f>
        <v>564864.30163288279</v>
      </c>
      <c r="N8" s="304"/>
      <c r="O8" s="384" t="s">
        <v>220</v>
      </c>
      <c r="P8" s="385"/>
      <c r="Q8" s="228">
        <f>Q7+Q6</f>
        <v>766122.01692322223</v>
      </c>
      <c r="R8" s="304"/>
      <c r="S8" s="384" t="s">
        <v>220</v>
      </c>
      <c r="T8" s="385"/>
      <c r="U8" s="228">
        <f>U7+U6</f>
        <v>1332683.5617927536</v>
      </c>
      <c r="V8" s="304"/>
      <c r="W8" s="384" t="s">
        <v>220</v>
      </c>
      <c r="X8" s="385"/>
      <c r="Y8" s="228">
        <f>Y7+Y6</f>
        <v>2020696.7146077193</v>
      </c>
      <c r="Z8" s="304"/>
    </row>
    <row r="9" spans="2:26" x14ac:dyDescent="0.25">
      <c r="B9" s="304"/>
      <c r="C9" s="386" t="s">
        <v>221</v>
      </c>
      <c r="D9" s="387"/>
      <c r="E9" s="224">
        <f>E10+E11</f>
        <v>519542</v>
      </c>
      <c r="F9" s="304"/>
      <c r="G9" s="386" t="s">
        <v>221</v>
      </c>
      <c r="H9" s="387"/>
      <c r="I9" s="224">
        <f>I10+I11</f>
        <v>483678.66124352696</v>
      </c>
      <c r="J9" s="304"/>
      <c r="K9" s="386" t="s">
        <v>221</v>
      </c>
      <c r="L9" s="387"/>
      <c r="M9" s="224">
        <f>M10+M11</f>
        <v>241718.42830340937</v>
      </c>
      <c r="N9" s="304"/>
      <c r="O9" s="386" t="s">
        <v>221</v>
      </c>
      <c r="P9" s="387"/>
      <c r="Q9" s="224">
        <f>Q10+Q11</f>
        <v>0</v>
      </c>
      <c r="R9" s="304"/>
      <c r="S9" s="386" t="s">
        <v>221</v>
      </c>
      <c r="T9" s="387"/>
      <c r="U9" s="224">
        <f>U10+U11</f>
        <v>0</v>
      </c>
      <c r="V9" s="304"/>
      <c r="W9" s="386" t="s">
        <v>221</v>
      </c>
      <c r="X9" s="387"/>
      <c r="Y9" s="224">
        <f>Y10+Y11</f>
        <v>0</v>
      </c>
      <c r="Z9" s="304"/>
    </row>
    <row r="10" spans="2:26" x14ac:dyDescent="0.25">
      <c r="B10" s="304"/>
      <c r="C10" s="382" t="s">
        <v>222</v>
      </c>
      <c r="D10" s="383"/>
      <c r="E10" s="225">
        <f>Financiamiento!H5</f>
        <v>519542</v>
      </c>
      <c r="F10" s="304"/>
      <c r="G10" s="382" t="s">
        <v>222</v>
      </c>
      <c r="H10" s="383"/>
      <c r="I10" s="225">
        <f>Financiamiento!H7</f>
        <v>483678.66124352696</v>
      </c>
      <c r="J10" s="304"/>
      <c r="K10" s="382" t="s">
        <v>222</v>
      </c>
      <c r="L10" s="383"/>
      <c r="M10" s="225">
        <f>Financiamiento!H19</f>
        <v>241718.42830340937</v>
      </c>
      <c r="N10" s="304"/>
      <c r="O10" s="382" t="s">
        <v>222</v>
      </c>
      <c r="P10" s="383"/>
      <c r="Q10" s="225">
        <f>Financiamiento!H38</f>
        <v>0</v>
      </c>
      <c r="R10" s="304"/>
      <c r="S10" s="382" t="s">
        <v>222</v>
      </c>
      <c r="T10" s="383"/>
      <c r="U10" s="225">
        <v>0</v>
      </c>
      <c r="V10" s="304"/>
      <c r="W10" s="382" t="s">
        <v>222</v>
      </c>
      <c r="X10" s="383"/>
      <c r="Y10" s="225">
        <v>0</v>
      </c>
      <c r="Z10" s="304"/>
    </row>
    <row r="11" spans="2:26" x14ac:dyDescent="0.25">
      <c r="B11" s="304"/>
      <c r="C11" s="382" t="s">
        <v>223</v>
      </c>
      <c r="D11" s="383"/>
      <c r="E11" s="225">
        <v>0</v>
      </c>
      <c r="F11" s="304"/>
      <c r="G11" s="382" t="s">
        <v>223</v>
      </c>
      <c r="H11" s="383"/>
      <c r="I11" s="225"/>
      <c r="J11" s="304"/>
      <c r="K11" s="382" t="s">
        <v>223</v>
      </c>
      <c r="L11" s="383"/>
      <c r="M11" s="225">
        <v>0</v>
      </c>
      <c r="N11" s="304"/>
      <c r="O11" s="382" t="s">
        <v>223</v>
      </c>
      <c r="P11" s="383"/>
      <c r="Q11" s="225">
        <v>0</v>
      </c>
      <c r="R11" s="304"/>
      <c r="S11" s="382" t="s">
        <v>223</v>
      </c>
      <c r="T11" s="383"/>
      <c r="U11" s="225">
        <v>0</v>
      </c>
      <c r="V11" s="304"/>
      <c r="W11" s="382" t="s">
        <v>223</v>
      </c>
      <c r="X11" s="383"/>
      <c r="Y11" s="225">
        <v>0</v>
      </c>
      <c r="Z11" s="304"/>
    </row>
    <row r="12" spans="2:26" x14ac:dyDescent="0.25">
      <c r="B12" s="304"/>
      <c r="C12" s="382" t="s">
        <v>224</v>
      </c>
      <c r="D12" s="383"/>
      <c r="E12" s="225">
        <f>'Capital  Social'!E11</f>
        <v>442885.01419374737</v>
      </c>
      <c r="F12" s="304"/>
      <c r="G12" s="382" t="s">
        <v>224</v>
      </c>
      <c r="H12" s="383"/>
      <c r="I12" s="225">
        <f>E12</f>
        <v>442885.01419374737</v>
      </c>
      <c r="J12" s="304"/>
      <c r="K12" s="382" t="s">
        <v>224</v>
      </c>
      <c r="L12" s="383"/>
      <c r="M12" s="225">
        <f>I12</f>
        <v>442885.01419374737</v>
      </c>
      <c r="N12" s="304"/>
      <c r="O12" s="382" t="s">
        <v>224</v>
      </c>
      <c r="P12" s="383"/>
      <c r="Q12" s="225">
        <f>M12</f>
        <v>442885.01419374737</v>
      </c>
      <c r="R12" s="304"/>
      <c r="S12" s="382" t="s">
        <v>224</v>
      </c>
      <c r="T12" s="383"/>
      <c r="U12" s="225">
        <f>Q12</f>
        <v>442885.01419374737</v>
      </c>
      <c r="V12" s="304"/>
      <c r="W12" s="382" t="s">
        <v>224</v>
      </c>
      <c r="X12" s="383"/>
      <c r="Y12" s="225">
        <f>U12</f>
        <v>442885.01419374737</v>
      </c>
      <c r="Z12" s="304"/>
    </row>
    <row r="13" spans="2:26" x14ac:dyDescent="0.25">
      <c r="B13" s="304"/>
      <c r="C13" s="382" t="s">
        <v>225</v>
      </c>
      <c r="D13" s="383"/>
      <c r="E13" s="225">
        <f>0</f>
        <v>0</v>
      </c>
      <c r="F13" s="304"/>
      <c r="G13" s="382" t="s">
        <v>225</v>
      </c>
      <c r="H13" s="383"/>
      <c r="I13" s="225">
        <f>E14</f>
        <v>-563021.67543727439</v>
      </c>
      <c r="J13" s="304"/>
      <c r="K13" s="382" t="s">
        <v>225</v>
      </c>
      <c r="L13" s="383"/>
      <c r="M13" s="225">
        <f>I14+I13</f>
        <v>-422308.92938181257</v>
      </c>
      <c r="N13" s="304"/>
      <c r="O13" s="382" t="s">
        <v>225</v>
      </c>
      <c r="P13" s="383"/>
      <c r="Q13" s="225">
        <f>M14+M13</f>
        <v>-119739.14086427446</v>
      </c>
      <c r="R13" s="304"/>
      <c r="S13" s="382" t="s">
        <v>225</v>
      </c>
      <c r="T13" s="383"/>
      <c r="U13" s="225">
        <f>Q14+Q13</f>
        <v>323237.0027294755</v>
      </c>
      <c r="V13" s="304"/>
      <c r="W13" s="382" t="s">
        <v>225</v>
      </c>
      <c r="X13" s="383"/>
      <c r="Y13" s="225">
        <f>U14+U13</f>
        <v>889798.54759900726</v>
      </c>
      <c r="Z13" s="304"/>
    </row>
    <row r="14" spans="2:26" x14ac:dyDescent="0.25">
      <c r="B14" s="304"/>
      <c r="C14" s="382" t="s">
        <v>226</v>
      </c>
      <c r="D14" s="383"/>
      <c r="E14" s="225">
        <f>'Estado de Resultados'!F18</f>
        <v>-563021.67543727439</v>
      </c>
      <c r="F14" s="304"/>
      <c r="G14" s="382" t="s">
        <v>226</v>
      </c>
      <c r="H14" s="383"/>
      <c r="I14" s="225">
        <f>'Estado de Resultados'!K18</f>
        <v>140712.74605546179</v>
      </c>
      <c r="J14" s="304"/>
      <c r="K14" s="382" t="s">
        <v>226</v>
      </c>
      <c r="L14" s="383"/>
      <c r="M14" s="225">
        <f>'Estado de Resultados'!P18</f>
        <v>302569.78851753811</v>
      </c>
      <c r="N14" s="304"/>
      <c r="O14" s="382" t="s">
        <v>226</v>
      </c>
      <c r="P14" s="383"/>
      <c r="Q14" s="225">
        <f>'Estado de Resultados'!U18</f>
        <v>442976.14359374996</v>
      </c>
      <c r="R14" s="304"/>
      <c r="S14" s="382" t="s">
        <v>226</v>
      </c>
      <c r="T14" s="383"/>
      <c r="U14" s="225">
        <f>'Estado de Resultados'!Z18</f>
        <v>566561.54486953176</v>
      </c>
      <c r="V14" s="304"/>
      <c r="W14" s="382" t="s">
        <v>226</v>
      </c>
      <c r="X14" s="383"/>
      <c r="Y14" s="225">
        <f>'Estado de Resultados'!AE18</f>
        <v>688013.15281496535</v>
      </c>
      <c r="Z14" s="304"/>
    </row>
    <row r="15" spans="2:26" x14ac:dyDescent="0.25">
      <c r="B15" s="304"/>
      <c r="C15" s="391" t="s">
        <v>227</v>
      </c>
      <c r="D15" s="392"/>
      <c r="E15" s="226">
        <f>E14+E13+E12+E9</f>
        <v>399405.33875647298</v>
      </c>
      <c r="F15" s="304"/>
      <c r="G15" s="391" t="s">
        <v>227</v>
      </c>
      <c r="H15" s="392"/>
      <c r="I15" s="226">
        <f>I14+I13+I12+I9</f>
        <v>504254.74605546176</v>
      </c>
      <c r="J15" s="304"/>
      <c r="K15" s="391" t="s">
        <v>227</v>
      </c>
      <c r="L15" s="392"/>
      <c r="M15" s="226">
        <f>M14+M13+M12+M9</f>
        <v>564864.30163288233</v>
      </c>
      <c r="N15" s="304"/>
      <c r="O15" s="391" t="s">
        <v>227</v>
      </c>
      <c r="P15" s="392"/>
      <c r="Q15" s="270">
        <f>Q14+Q13+Q12+Q9</f>
        <v>766122.01692322292</v>
      </c>
      <c r="R15" s="304"/>
      <c r="S15" s="391" t="s">
        <v>227</v>
      </c>
      <c r="T15" s="392"/>
      <c r="U15" s="226">
        <f>U14+U13+U12+U9</f>
        <v>1332683.5617927546</v>
      </c>
      <c r="V15" s="304"/>
      <c r="W15" s="391" t="s">
        <v>227</v>
      </c>
      <c r="X15" s="392"/>
      <c r="Y15" s="226">
        <f>Y14+Y13+Y12+Y9</f>
        <v>2020696.71460772</v>
      </c>
      <c r="Z15" s="304"/>
    </row>
    <row r="16" spans="2:26" ht="15.6" thickBot="1" x14ac:dyDescent="0.3">
      <c r="B16" s="304"/>
      <c r="C16" s="393" t="s">
        <v>228</v>
      </c>
      <c r="D16" s="394"/>
      <c r="E16" s="227">
        <f>E8-E15</f>
        <v>0</v>
      </c>
      <c r="F16" s="304"/>
      <c r="G16" s="393" t="s">
        <v>228</v>
      </c>
      <c r="H16" s="394"/>
      <c r="I16" s="227">
        <f>I8-I15</f>
        <v>0</v>
      </c>
      <c r="J16" s="304"/>
      <c r="K16" s="393" t="s">
        <v>228</v>
      </c>
      <c r="L16" s="394"/>
      <c r="M16" s="227">
        <f>M8-M15</f>
        <v>0</v>
      </c>
      <c r="N16" s="304"/>
      <c r="O16" s="393" t="s">
        <v>228</v>
      </c>
      <c r="P16" s="394"/>
      <c r="Q16" s="269">
        <f>Q8-Q15</f>
        <v>0</v>
      </c>
      <c r="R16" s="304"/>
      <c r="S16" s="393" t="s">
        <v>228</v>
      </c>
      <c r="T16" s="394"/>
      <c r="U16" s="227">
        <f>U8-U15</f>
        <v>0</v>
      </c>
      <c r="V16" s="304"/>
      <c r="W16" s="393" t="s">
        <v>228</v>
      </c>
      <c r="X16" s="394"/>
      <c r="Y16" s="227">
        <f>Y8-Y15</f>
        <v>0</v>
      </c>
      <c r="Z16" s="304"/>
    </row>
    <row r="17" spans="2:26" x14ac:dyDescent="0.25">
      <c r="B17" s="304"/>
      <c r="C17" s="304"/>
      <c r="D17" s="304"/>
      <c r="E17" s="304"/>
      <c r="F17" s="304"/>
      <c r="G17" s="304"/>
      <c r="H17" s="304"/>
      <c r="I17" s="304"/>
      <c r="J17" s="304"/>
      <c r="K17" s="304"/>
      <c r="L17" s="304"/>
      <c r="M17" s="304"/>
      <c r="N17" s="304"/>
      <c r="O17" s="304"/>
      <c r="P17" s="304"/>
      <c r="Q17" s="304"/>
      <c r="R17" s="304"/>
      <c r="T17" s="304"/>
      <c r="U17" s="304"/>
      <c r="V17" s="304"/>
      <c r="W17" s="304"/>
      <c r="X17" s="304"/>
      <c r="Y17" s="304"/>
      <c r="Z17" s="304"/>
    </row>
    <row r="21" spans="2:26" x14ac:dyDescent="0.25">
      <c r="G21" s="300"/>
      <c r="H21" s="300"/>
      <c r="I21" s="300"/>
      <c r="J21" s="300"/>
    </row>
    <row r="22" spans="2:26" x14ac:dyDescent="0.25">
      <c r="E22" s="301"/>
      <c r="G22" s="300"/>
      <c r="H22" s="300"/>
      <c r="I22" s="300"/>
      <c r="J22" s="300"/>
    </row>
    <row r="23" spans="2:26" x14ac:dyDescent="0.25">
      <c r="G23" s="302"/>
      <c r="H23" s="302"/>
      <c r="I23" s="302"/>
      <c r="J23" s="303"/>
    </row>
    <row r="24" spans="2:26" x14ac:dyDescent="0.25">
      <c r="G24" s="302"/>
      <c r="H24" s="302"/>
      <c r="I24" s="302"/>
    </row>
    <row r="25" spans="2:26" x14ac:dyDescent="0.25">
      <c r="G25" s="302"/>
      <c r="H25" s="302"/>
      <c r="I25" s="302"/>
    </row>
    <row r="26" spans="2:26" x14ac:dyDescent="0.25">
      <c r="G26" s="302"/>
      <c r="H26" s="302"/>
      <c r="I26" s="302"/>
    </row>
    <row r="27" spans="2:26" x14ac:dyDescent="0.25">
      <c r="G27" s="302"/>
      <c r="H27" s="302"/>
      <c r="I27" s="302"/>
    </row>
    <row r="28" spans="2:26" x14ac:dyDescent="0.25">
      <c r="G28" s="302"/>
      <c r="H28" s="302"/>
      <c r="I28" s="302"/>
    </row>
    <row r="29" spans="2:26" x14ac:dyDescent="0.25">
      <c r="G29" s="302"/>
      <c r="H29" s="302"/>
      <c r="I29" s="302"/>
    </row>
    <row r="30" spans="2:26" x14ac:dyDescent="0.25">
      <c r="G30" s="302"/>
      <c r="H30" s="302"/>
      <c r="I30" s="302"/>
    </row>
    <row r="31" spans="2:26" x14ac:dyDescent="0.25">
      <c r="G31" s="302"/>
      <c r="H31" s="302"/>
      <c r="I31" s="302"/>
      <c r="J31" s="303"/>
    </row>
    <row r="32" spans="2:26" x14ac:dyDescent="0.25">
      <c r="G32" s="302"/>
      <c r="H32" s="302"/>
      <c r="I32" s="302"/>
    </row>
    <row r="33" spans="7:9" x14ac:dyDescent="0.25">
      <c r="G33" s="302"/>
      <c r="H33" s="302"/>
      <c r="I33" s="302"/>
    </row>
    <row r="34" spans="7:9" x14ac:dyDescent="0.25">
      <c r="G34" s="302"/>
      <c r="H34" s="302"/>
      <c r="I34" s="302"/>
    </row>
    <row r="35" spans="7:9" x14ac:dyDescent="0.25">
      <c r="G35" s="302"/>
      <c r="H35" s="302"/>
      <c r="I35" s="302"/>
    </row>
    <row r="36" spans="7:9" x14ac:dyDescent="0.25">
      <c r="G36" s="302"/>
      <c r="H36" s="302"/>
      <c r="I36" s="302"/>
    </row>
    <row r="37" spans="7:9" x14ac:dyDescent="0.25">
      <c r="G37" s="302"/>
      <c r="H37" s="302"/>
      <c r="I37" s="302"/>
    </row>
    <row r="38" spans="7:9" x14ac:dyDescent="0.25">
      <c r="G38" s="302"/>
      <c r="H38" s="302"/>
      <c r="I38" s="302"/>
    </row>
    <row r="39" spans="7:9" x14ac:dyDescent="0.25">
      <c r="G39" s="302"/>
      <c r="H39" s="302"/>
      <c r="I39" s="302"/>
    </row>
    <row r="40" spans="7:9" x14ac:dyDescent="0.25">
      <c r="G40" s="302"/>
      <c r="H40" s="302"/>
      <c r="I40" s="302"/>
    </row>
    <row r="41" spans="7:9" x14ac:dyDescent="0.25">
      <c r="G41" s="302"/>
      <c r="H41" s="302"/>
      <c r="I41" s="302"/>
    </row>
  </sheetData>
  <mergeCells count="78">
    <mergeCell ref="S14:T14"/>
    <mergeCell ref="S15:T15"/>
    <mergeCell ref="S16:T16"/>
    <mergeCell ref="W4:Y4"/>
    <mergeCell ref="W5:Y5"/>
    <mergeCell ref="W6:X6"/>
    <mergeCell ref="W7:X7"/>
    <mergeCell ref="W8:X8"/>
    <mergeCell ref="W9:X9"/>
    <mergeCell ref="W10:X10"/>
    <mergeCell ref="W11:X11"/>
    <mergeCell ref="W12:X12"/>
    <mergeCell ref="W13:X13"/>
    <mergeCell ref="W14:X14"/>
    <mergeCell ref="W15:X15"/>
    <mergeCell ref="W16:X16"/>
    <mergeCell ref="S9:T9"/>
    <mergeCell ref="S10:T10"/>
    <mergeCell ref="S11:T11"/>
    <mergeCell ref="S12:T12"/>
    <mergeCell ref="S13:T13"/>
    <mergeCell ref="S4:U4"/>
    <mergeCell ref="S5:U5"/>
    <mergeCell ref="S6:T6"/>
    <mergeCell ref="S7:T7"/>
    <mergeCell ref="S8:T8"/>
    <mergeCell ref="K14:L14"/>
    <mergeCell ref="K15:L15"/>
    <mergeCell ref="K16:L16"/>
    <mergeCell ref="O4:Q4"/>
    <mergeCell ref="O5:Q5"/>
    <mergeCell ref="O6:P6"/>
    <mergeCell ref="O7:P7"/>
    <mergeCell ref="O8:P8"/>
    <mergeCell ref="O9:P9"/>
    <mergeCell ref="O10:P10"/>
    <mergeCell ref="O11:P11"/>
    <mergeCell ref="O12:P12"/>
    <mergeCell ref="O13:P13"/>
    <mergeCell ref="O14:P14"/>
    <mergeCell ref="O15:P15"/>
    <mergeCell ref="O16:P16"/>
    <mergeCell ref="K9:L9"/>
    <mergeCell ref="K10:L10"/>
    <mergeCell ref="K11:L11"/>
    <mergeCell ref="K12:L12"/>
    <mergeCell ref="K13:L13"/>
    <mergeCell ref="K4:M4"/>
    <mergeCell ref="K5:M5"/>
    <mergeCell ref="K6:L6"/>
    <mergeCell ref="K7:L7"/>
    <mergeCell ref="K8:L8"/>
    <mergeCell ref="G13:H13"/>
    <mergeCell ref="G14:H14"/>
    <mergeCell ref="G15:H15"/>
    <mergeCell ref="G16:H16"/>
    <mergeCell ref="C16:D16"/>
    <mergeCell ref="C13:D13"/>
    <mergeCell ref="C14:D14"/>
    <mergeCell ref="C15:D15"/>
    <mergeCell ref="G4:I4"/>
    <mergeCell ref="G5:I5"/>
    <mergeCell ref="G6:H6"/>
    <mergeCell ref="G7:H7"/>
    <mergeCell ref="G8:H8"/>
    <mergeCell ref="G9:H9"/>
    <mergeCell ref="G10:H10"/>
    <mergeCell ref="G11:H11"/>
    <mergeCell ref="G12:H12"/>
    <mergeCell ref="C10:D10"/>
    <mergeCell ref="C11:D11"/>
    <mergeCell ref="C12:D12"/>
    <mergeCell ref="C9:D9"/>
    <mergeCell ref="C4:E4"/>
    <mergeCell ref="C5:E5"/>
    <mergeCell ref="C6:D6"/>
    <mergeCell ref="C7:D7"/>
    <mergeCell ref="C8:D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2D0FB-223B-4649-B7D2-7EB8DAAE6E10}">
  <sheetPr codeName="Hoja7"/>
  <dimension ref="B2:AK51"/>
  <sheetViews>
    <sheetView topLeftCell="E4" workbookViewId="0">
      <selection activeCell="P7" sqref="P7"/>
    </sheetView>
  </sheetViews>
  <sheetFormatPr baseColWidth="10" defaultColWidth="11.54296875" defaultRowHeight="15" x14ac:dyDescent="0.25"/>
  <cols>
    <col min="1" max="1" width="11.54296875" style="272"/>
    <col min="2" max="2" width="6.81640625" style="272" customWidth="1"/>
    <col min="3" max="5" width="11.54296875" style="272"/>
    <col min="6" max="6" width="14.08984375" style="272" customWidth="1"/>
    <col min="7" max="10" width="11.54296875" style="272"/>
    <col min="11" max="11" width="15.54296875" style="272" customWidth="1"/>
    <col min="12" max="15" width="11.54296875" style="272"/>
    <col min="16" max="16" width="15.90625" style="272" customWidth="1"/>
    <col min="17" max="20" width="11.54296875" style="272"/>
    <col min="21" max="21" width="15.90625" style="272" customWidth="1"/>
    <col min="22" max="25" width="11.54296875" style="272"/>
    <col min="26" max="26" width="13.54296875" style="272" customWidth="1"/>
    <col min="27" max="30" width="11.54296875" style="272"/>
    <col min="31" max="31" width="14" style="272" customWidth="1"/>
    <col min="32" max="35" width="11.54296875" style="272"/>
    <col min="36" max="36" width="13.90625" style="272" customWidth="1"/>
    <col min="37" max="37" width="6.81640625" style="272" customWidth="1"/>
    <col min="38" max="16384" width="11.54296875" style="272"/>
  </cols>
  <sheetData>
    <row r="2" spans="2:37" ht="15.6" thickBot="1" x14ac:dyDescent="0.3">
      <c r="B2" s="295"/>
      <c r="C2" s="295"/>
      <c r="D2" s="295"/>
      <c r="E2" s="295"/>
      <c r="F2" s="295"/>
      <c r="G2" s="295"/>
      <c r="H2" s="295"/>
      <c r="I2" s="295"/>
      <c r="J2" s="295"/>
      <c r="K2" s="295"/>
      <c r="L2" s="295"/>
      <c r="M2" s="295"/>
      <c r="N2" s="295"/>
      <c r="O2" s="295"/>
      <c r="P2" s="295"/>
      <c r="Q2" s="295"/>
      <c r="R2" s="295"/>
      <c r="S2" s="295"/>
      <c r="T2" s="295"/>
      <c r="U2" s="295"/>
      <c r="V2" s="295"/>
      <c r="W2" s="295"/>
      <c r="X2" s="295"/>
      <c r="Y2" s="295"/>
      <c r="Z2" s="295"/>
      <c r="AA2" s="295"/>
      <c r="AB2" s="295"/>
      <c r="AC2" s="295"/>
      <c r="AD2" s="295"/>
      <c r="AE2" s="295"/>
      <c r="AF2" s="295"/>
      <c r="AG2" s="295"/>
      <c r="AH2" s="295"/>
      <c r="AI2" s="295"/>
      <c r="AJ2" s="295"/>
      <c r="AK2" s="295"/>
    </row>
    <row r="3" spans="2:37" x14ac:dyDescent="0.25">
      <c r="B3" s="295"/>
      <c r="C3" s="376" t="s">
        <v>165</v>
      </c>
      <c r="D3" s="377"/>
      <c r="E3" s="377"/>
      <c r="F3" s="378"/>
      <c r="G3" s="309"/>
      <c r="H3" s="376" t="s">
        <v>165</v>
      </c>
      <c r="I3" s="377"/>
      <c r="J3" s="377"/>
      <c r="K3" s="378"/>
      <c r="L3" s="295"/>
      <c r="M3" s="376" t="s">
        <v>165</v>
      </c>
      <c r="N3" s="377"/>
      <c r="O3" s="377"/>
      <c r="P3" s="378"/>
      <c r="Q3" s="295"/>
      <c r="R3" s="376" t="s">
        <v>165</v>
      </c>
      <c r="S3" s="377"/>
      <c r="T3" s="377"/>
      <c r="U3" s="378"/>
      <c r="V3" s="295"/>
      <c r="W3" s="376" t="s">
        <v>165</v>
      </c>
      <c r="X3" s="377"/>
      <c r="Y3" s="377"/>
      <c r="Z3" s="378"/>
      <c r="AA3" s="295"/>
      <c r="AB3" s="376" t="s">
        <v>165</v>
      </c>
      <c r="AC3" s="377"/>
      <c r="AD3" s="377"/>
      <c r="AE3" s="378"/>
      <c r="AF3" s="295"/>
      <c r="AG3" s="376" t="s">
        <v>165</v>
      </c>
      <c r="AH3" s="377"/>
      <c r="AI3" s="377"/>
      <c r="AJ3" s="378"/>
      <c r="AK3" s="295"/>
    </row>
    <row r="4" spans="2:37" ht="15.6" thickBot="1" x14ac:dyDescent="0.3">
      <c r="B4" s="295"/>
      <c r="C4" s="379" t="s">
        <v>166</v>
      </c>
      <c r="D4" s="380"/>
      <c r="E4" s="380"/>
      <c r="F4" s="381"/>
      <c r="G4" s="295"/>
      <c r="H4" s="379" t="s">
        <v>167</v>
      </c>
      <c r="I4" s="380"/>
      <c r="J4" s="380"/>
      <c r="K4" s="381"/>
      <c r="L4" s="295"/>
      <c r="M4" s="379" t="s">
        <v>168</v>
      </c>
      <c r="N4" s="380"/>
      <c r="O4" s="380"/>
      <c r="P4" s="381"/>
      <c r="Q4" s="295"/>
      <c r="R4" s="379" t="s">
        <v>169</v>
      </c>
      <c r="S4" s="380"/>
      <c r="T4" s="380"/>
      <c r="U4" s="381"/>
      <c r="V4" s="295"/>
      <c r="W4" s="379" t="s">
        <v>170</v>
      </c>
      <c r="X4" s="380"/>
      <c r="Y4" s="380"/>
      <c r="Z4" s="381"/>
      <c r="AA4" s="295"/>
      <c r="AB4" s="379" t="s">
        <v>171</v>
      </c>
      <c r="AC4" s="380"/>
      <c r="AD4" s="380"/>
      <c r="AE4" s="381"/>
      <c r="AF4" s="295"/>
      <c r="AG4" s="379" t="s">
        <v>172</v>
      </c>
      <c r="AH4" s="380"/>
      <c r="AI4" s="380"/>
      <c r="AJ4" s="381"/>
      <c r="AK4" s="295"/>
    </row>
    <row r="5" spans="2:37" ht="15.6" thickBot="1" x14ac:dyDescent="0.3">
      <c r="B5" s="295"/>
      <c r="C5" s="424" t="s">
        <v>173</v>
      </c>
      <c r="D5" s="425"/>
      <c r="E5" s="426"/>
      <c r="F5" s="175" t="s">
        <v>174</v>
      </c>
      <c r="G5" s="309"/>
      <c r="H5" s="413" t="s">
        <v>173</v>
      </c>
      <c r="I5" s="414"/>
      <c r="J5" s="415"/>
      <c r="K5" s="206" t="s">
        <v>174</v>
      </c>
      <c r="L5" s="295"/>
      <c r="M5" s="413" t="s">
        <v>173</v>
      </c>
      <c r="N5" s="414"/>
      <c r="O5" s="415"/>
      <c r="P5" s="206" t="s">
        <v>174</v>
      </c>
      <c r="Q5" s="295"/>
      <c r="R5" s="413" t="s">
        <v>173</v>
      </c>
      <c r="S5" s="414"/>
      <c r="T5" s="415"/>
      <c r="U5" s="206" t="s">
        <v>174</v>
      </c>
      <c r="V5" s="295"/>
      <c r="W5" s="413" t="s">
        <v>173</v>
      </c>
      <c r="X5" s="414"/>
      <c r="Y5" s="415"/>
      <c r="Z5" s="206" t="s">
        <v>174</v>
      </c>
      <c r="AA5" s="295"/>
      <c r="AB5" s="413" t="s">
        <v>173</v>
      </c>
      <c r="AC5" s="414"/>
      <c r="AD5" s="415"/>
      <c r="AE5" s="206" t="s">
        <v>174</v>
      </c>
      <c r="AF5" s="295"/>
      <c r="AG5" s="413" t="s">
        <v>173</v>
      </c>
      <c r="AH5" s="414"/>
      <c r="AI5" s="415"/>
      <c r="AJ5" s="206" t="s">
        <v>174</v>
      </c>
      <c r="AK5" s="295"/>
    </row>
    <row r="6" spans="2:37" x14ac:dyDescent="0.25">
      <c r="B6" s="295"/>
      <c r="C6" s="416" t="s">
        <v>175</v>
      </c>
      <c r="D6" s="417"/>
      <c r="E6" s="418"/>
      <c r="F6" s="202">
        <v>0</v>
      </c>
      <c r="G6" s="309"/>
      <c r="H6" s="416" t="s">
        <v>175</v>
      </c>
      <c r="I6" s="417"/>
      <c r="J6" s="418"/>
      <c r="K6" s="207">
        <f>'Presupuesto de Ingresos'!E7</f>
        <v>2839245</v>
      </c>
      <c r="L6" s="295"/>
      <c r="M6" s="416" t="s">
        <v>175</v>
      </c>
      <c r="N6" s="417"/>
      <c r="O6" s="418"/>
      <c r="P6" s="207">
        <f>'Presupuesto de Ingresos'!H7</f>
        <v>3123169.5</v>
      </c>
      <c r="Q6" s="295"/>
      <c r="R6" s="416" t="s">
        <v>175</v>
      </c>
      <c r="S6" s="417"/>
      <c r="T6" s="418"/>
      <c r="U6" s="207">
        <f>'Presupuesto de Ingresos'!K7</f>
        <v>3407094</v>
      </c>
      <c r="V6" s="295"/>
      <c r="W6" s="416" t="s">
        <v>175</v>
      </c>
      <c r="X6" s="417"/>
      <c r="Y6" s="418"/>
      <c r="Z6" s="207">
        <f>'Presupuesto de Ingresos'!N7</f>
        <v>3691018.5</v>
      </c>
      <c r="AA6" s="295"/>
      <c r="AB6" s="416" t="s">
        <v>175</v>
      </c>
      <c r="AC6" s="417"/>
      <c r="AD6" s="418"/>
      <c r="AE6" s="207">
        <f>'Presupuesto de Ingresos'!Q7</f>
        <v>3974943</v>
      </c>
      <c r="AF6" s="295"/>
      <c r="AG6" s="416" t="s">
        <v>175</v>
      </c>
      <c r="AH6" s="417"/>
      <c r="AI6" s="418"/>
      <c r="AJ6" s="207">
        <f>'Presupuesto de Ingresos'!T7</f>
        <v>4287259.95</v>
      </c>
      <c r="AK6" s="295"/>
    </row>
    <row r="7" spans="2:37" x14ac:dyDescent="0.25">
      <c r="B7" s="295"/>
      <c r="C7" s="395" t="s">
        <v>176</v>
      </c>
      <c r="D7" s="419"/>
      <c r="E7" s="397"/>
      <c r="F7" s="204">
        <v>0</v>
      </c>
      <c r="G7" s="309"/>
      <c r="H7" s="395" t="s">
        <v>176</v>
      </c>
      <c r="I7" s="396"/>
      <c r="J7" s="397"/>
      <c r="K7" s="203">
        <f>Depreciación!I35</f>
        <v>45789</v>
      </c>
      <c r="L7" s="295"/>
      <c r="M7" s="395" t="s">
        <v>176</v>
      </c>
      <c r="N7" s="396"/>
      <c r="O7" s="397"/>
      <c r="P7" s="203">
        <f>Depreciación!I35</f>
        <v>45789</v>
      </c>
      <c r="Q7" s="295"/>
      <c r="R7" s="395" t="s">
        <v>176</v>
      </c>
      <c r="S7" s="396"/>
      <c r="T7" s="397"/>
      <c r="U7" s="203">
        <f>Depreciación!I35</f>
        <v>45789</v>
      </c>
      <c r="V7" s="295"/>
      <c r="W7" s="395" t="s">
        <v>176</v>
      </c>
      <c r="X7" s="396"/>
      <c r="Y7" s="397"/>
      <c r="Z7" s="203">
        <f>Depreciación!I35</f>
        <v>45789</v>
      </c>
      <c r="AA7" s="295"/>
      <c r="AB7" s="395" t="s">
        <v>176</v>
      </c>
      <c r="AC7" s="396"/>
      <c r="AD7" s="397"/>
      <c r="AE7" s="203">
        <f>Depreciación!I35</f>
        <v>45789</v>
      </c>
      <c r="AF7" s="295"/>
      <c r="AG7" s="395" t="s">
        <v>176</v>
      </c>
      <c r="AH7" s="396"/>
      <c r="AI7" s="397"/>
      <c r="AJ7" s="203">
        <f>Depreciación!I35*5</f>
        <v>228945</v>
      </c>
      <c r="AK7" s="295"/>
    </row>
    <row r="8" spans="2:37" x14ac:dyDescent="0.25">
      <c r="B8" s="295"/>
      <c r="C8" s="401" t="s">
        <v>177</v>
      </c>
      <c r="D8" s="420"/>
      <c r="E8" s="403"/>
      <c r="F8" s="199">
        <f>F6-F7</f>
        <v>0</v>
      </c>
      <c r="G8" s="309"/>
      <c r="H8" s="401" t="s">
        <v>177</v>
      </c>
      <c r="I8" s="402"/>
      <c r="J8" s="403"/>
      <c r="K8" s="208">
        <f>K6-K7</f>
        <v>2793456</v>
      </c>
      <c r="L8" s="295"/>
      <c r="M8" s="401" t="s">
        <v>177</v>
      </c>
      <c r="N8" s="402"/>
      <c r="O8" s="403"/>
      <c r="P8" s="208">
        <f>P6-P7</f>
        <v>3077380.5</v>
      </c>
      <c r="Q8" s="295"/>
      <c r="R8" s="401" t="s">
        <v>177</v>
      </c>
      <c r="S8" s="402"/>
      <c r="T8" s="403"/>
      <c r="U8" s="208">
        <f>U6-U7</f>
        <v>3361305</v>
      </c>
      <c r="V8" s="295"/>
      <c r="W8" s="401" t="s">
        <v>177</v>
      </c>
      <c r="X8" s="402"/>
      <c r="Y8" s="403"/>
      <c r="Z8" s="208">
        <f>Z6-Z7</f>
        <v>3645229.5</v>
      </c>
      <c r="AA8" s="295"/>
      <c r="AB8" s="401" t="s">
        <v>177</v>
      </c>
      <c r="AC8" s="402"/>
      <c r="AD8" s="403"/>
      <c r="AE8" s="208">
        <f>AE6-AE7</f>
        <v>3929154</v>
      </c>
      <c r="AF8" s="295"/>
      <c r="AG8" s="401" t="s">
        <v>177</v>
      </c>
      <c r="AH8" s="402"/>
      <c r="AI8" s="403"/>
      <c r="AJ8" s="208">
        <f>AJ6-AJ7</f>
        <v>4058314.95</v>
      </c>
      <c r="AK8" s="295"/>
    </row>
    <row r="9" spans="2:37" x14ac:dyDescent="0.25">
      <c r="B9" s="295"/>
      <c r="C9" s="395" t="s">
        <v>178</v>
      </c>
      <c r="D9" s="419"/>
      <c r="E9" s="397"/>
      <c r="F9" s="200">
        <f>SUM(F10:F12)</f>
        <v>546000</v>
      </c>
      <c r="G9" s="309"/>
      <c r="H9" s="395" t="s">
        <v>178</v>
      </c>
      <c r="I9" s="396"/>
      <c r="J9" s="397"/>
      <c r="K9" s="209">
        <f>SUM(K10:K12)</f>
        <v>2501625</v>
      </c>
      <c r="L9" s="295"/>
      <c r="M9" s="395" t="s">
        <v>178</v>
      </c>
      <c r="N9" s="396"/>
      <c r="O9" s="397"/>
      <c r="P9" s="209">
        <f>SUM(P10:P12)</f>
        <v>2589181.875</v>
      </c>
      <c r="Q9" s="295"/>
      <c r="R9" s="395" t="s">
        <v>178</v>
      </c>
      <c r="S9" s="396"/>
      <c r="T9" s="397"/>
      <c r="U9" s="209">
        <f>SUM(U10:U12)</f>
        <v>2679803.2406250001</v>
      </c>
      <c r="V9" s="295"/>
      <c r="W9" s="395" t="s">
        <v>178</v>
      </c>
      <c r="X9" s="396"/>
      <c r="Y9" s="397"/>
      <c r="Z9" s="209">
        <f>SUM(Z10:Z12)</f>
        <v>2773596.3540468742</v>
      </c>
      <c r="AA9" s="295"/>
      <c r="AB9" s="395" t="s">
        <v>178</v>
      </c>
      <c r="AC9" s="396"/>
      <c r="AD9" s="397"/>
      <c r="AE9" s="209">
        <f>SUM(AE10:AE12)</f>
        <v>2870672.2264385149</v>
      </c>
      <c r="AF9" s="295"/>
      <c r="AG9" s="395" t="s">
        <v>178</v>
      </c>
      <c r="AH9" s="396"/>
      <c r="AI9" s="397"/>
      <c r="AJ9" s="209">
        <f>SUM(AJ10:AJ12)</f>
        <v>0</v>
      </c>
      <c r="AK9" s="295"/>
    </row>
    <row r="10" spans="2:37" ht="15.6" x14ac:dyDescent="0.3">
      <c r="B10" s="295"/>
      <c r="C10" s="398" t="s">
        <v>179</v>
      </c>
      <c r="D10" s="423"/>
      <c r="E10" s="400"/>
      <c r="F10" s="174">
        <f>'Flujo de Efectivo'!D20+'Flujo de Efectivo'!D23+'Flujo de Efectivo'!D24</f>
        <v>8000</v>
      </c>
      <c r="G10" s="309"/>
      <c r="H10" s="398" t="s">
        <v>179</v>
      </c>
      <c r="I10" s="399"/>
      <c r="J10" s="400"/>
      <c r="K10" s="174">
        <f>'Flujo de Efectivo'!E20+'Flujo de Efectivo'!E23+'Flujo de Efectivo'!E24</f>
        <v>860625</v>
      </c>
      <c r="L10" s="308"/>
      <c r="M10" s="398" t="s">
        <v>179</v>
      </c>
      <c r="N10" s="399"/>
      <c r="O10" s="400"/>
      <c r="P10" s="174">
        <f>'Flujo de Efectivo'!F20+'Flujo de Efectivo'!F23+'Flujo de Efectivo'!F24</f>
        <v>890746.87499999988</v>
      </c>
      <c r="Q10" s="295"/>
      <c r="R10" s="398" t="s">
        <v>179</v>
      </c>
      <c r="S10" s="399"/>
      <c r="T10" s="400"/>
      <c r="U10" s="174">
        <f>'Flujo de Efectivo'!G20+'Flujo de Efectivo'!G23+'Flujo de Efectivo'!G24</f>
        <v>921923.01562499988</v>
      </c>
      <c r="V10" s="295"/>
      <c r="W10" s="398" t="s">
        <v>179</v>
      </c>
      <c r="X10" s="399"/>
      <c r="Y10" s="400"/>
      <c r="Z10" s="174">
        <f>'Flujo de Efectivo'!H20+'Flujo de Efectivo'!H23+'Flujo de Efectivo'!H24</f>
        <v>954190.32117187476</v>
      </c>
      <c r="AA10" s="295"/>
      <c r="AB10" s="398" t="s">
        <v>179</v>
      </c>
      <c r="AC10" s="399"/>
      <c r="AD10" s="400"/>
      <c r="AE10" s="174">
        <f>'Flujo de Efectivo'!I20+'Flujo de Efectivo'!I23+'Flujo de Efectivo'!I24</f>
        <v>987586.9824128903</v>
      </c>
      <c r="AF10" s="295"/>
      <c r="AG10" s="398" t="s">
        <v>179</v>
      </c>
      <c r="AH10" s="399"/>
      <c r="AI10" s="400"/>
      <c r="AJ10" s="174">
        <f>'Flujo de Efectivo'!J20+'Flujo de Efectivo'!J23</f>
        <v>0</v>
      </c>
      <c r="AK10" s="295"/>
    </row>
    <row r="11" spans="2:37" ht="15.6" x14ac:dyDescent="0.3">
      <c r="B11" s="295"/>
      <c r="C11" s="398" t="s">
        <v>180</v>
      </c>
      <c r="D11" s="423"/>
      <c r="E11" s="400"/>
      <c r="F11" s="174">
        <f>'Flujo de Efectivo'!D13+'Flujo de Efectivo'!D16+'Flujo de Efectivo'!D17+'Flujo de Efectivo'!D18+'Flujo de Efectivo'!D21</f>
        <v>538000</v>
      </c>
      <c r="G11" s="309"/>
      <c r="H11" s="398" t="s">
        <v>180</v>
      </c>
      <c r="I11" s="399"/>
      <c r="J11" s="400"/>
      <c r="K11" s="174">
        <f>'Flujo de Efectivo'!E13+'Flujo de Efectivo'!E16+'Flujo de Efectivo'!E17+'Flujo de Efectivo'!E18+'Flujo de Efectivo'!E21</f>
        <v>1641000</v>
      </c>
      <c r="L11" s="308"/>
      <c r="M11" s="398" t="s">
        <v>180</v>
      </c>
      <c r="N11" s="399"/>
      <c r="O11" s="400"/>
      <c r="P11" s="174">
        <f>'Flujo de Efectivo'!F13+'Flujo de Efectivo'!F16+'Flujo de Efectivo'!F17+'Flujo de Efectivo'!F18+'Flujo de Efectivo'!F21</f>
        <v>1698435</v>
      </c>
      <c r="Q11" s="295"/>
      <c r="R11" s="398" t="s">
        <v>180</v>
      </c>
      <c r="S11" s="399"/>
      <c r="T11" s="400"/>
      <c r="U11" s="174">
        <f>'Flujo de Efectivo'!G13+'Flujo de Efectivo'!G16+'Flujo de Efectivo'!G17+'Flujo de Efectivo'!G18+'Flujo de Efectivo'!G21</f>
        <v>1757880.2250000001</v>
      </c>
      <c r="V11" s="295"/>
      <c r="W11" s="398" t="s">
        <v>180</v>
      </c>
      <c r="X11" s="399"/>
      <c r="Y11" s="400"/>
      <c r="Z11" s="174">
        <f>'Flujo de Efectivo'!H13+'Flujo de Efectivo'!H16+'Flujo de Efectivo'!H17+'Flujo de Efectivo'!H18+'Flujo de Efectivo'!H21</f>
        <v>1819406.0328749993</v>
      </c>
      <c r="AA11" s="295"/>
      <c r="AB11" s="398" t="s">
        <v>180</v>
      </c>
      <c r="AC11" s="399"/>
      <c r="AD11" s="400"/>
      <c r="AE11" s="174">
        <f>'Flujo de Efectivo'!I13+'Flujo de Efectivo'!I16+'Flujo de Efectivo'!I17+'Flujo de Efectivo'!I18+'Flujo de Efectivo'!I21</f>
        <v>1883085.2440256246</v>
      </c>
      <c r="AF11" s="295"/>
      <c r="AG11" s="398" t="s">
        <v>180</v>
      </c>
      <c r="AH11" s="399"/>
      <c r="AI11" s="400"/>
      <c r="AJ11" s="174">
        <f>'Flujo de Efectivo'!J13+'Flujo de Efectivo'!J16+'Flujo de Efectivo'!J17+'Flujo de Efectivo'!J18+'Flujo de Efectivo'!J21</f>
        <v>0</v>
      </c>
      <c r="AK11" s="295"/>
    </row>
    <row r="12" spans="2:37" ht="15.6" x14ac:dyDescent="0.3">
      <c r="B12" s="295"/>
      <c r="C12" s="398" t="s">
        <v>181</v>
      </c>
      <c r="D12" s="423"/>
      <c r="E12" s="400"/>
      <c r="F12" s="174"/>
      <c r="G12" s="309"/>
      <c r="H12" s="398" t="s">
        <v>181</v>
      </c>
      <c r="I12" s="399"/>
      <c r="J12" s="400"/>
      <c r="K12" s="174">
        <f>0</f>
        <v>0</v>
      </c>
      <c r="L12" s="308"/>
      <c r="M12" s="398" t="s">
        <v>181</v>
      </c>
      <c r="N12" s="399"/>
      <c r="O12" s="400"/>
      <c r="P12" s="174"/>
      <c r="Q12" s="295"/>
      <c r="R12" s="398" t="s">
        <v>181</v>
      </c>
      <c r="S12" s="399"/>
      <c r="T12" s="400"/>
      <c r="U12" s="174"/>
      <c r="V12" s="295"/>
      <c r="W12" s="398" t="s">
        <v>181</v>
      </c>
      <c r="X12" s="399"/>
      <c r="Y12" s="400"/>
      <c r="Z12" s="174"/>
      <c r="AA12" s="295"/>
      <c r="AB12" s="398" t="s">
        <v>181</v>
      </c>
      <c r="AC12" s="399"/>
      <c r="AD12" s="400"/>
      <c r="AE12" s="174"/>
      <c r="AF12" s="295"/>
      <c r="AG12" s="398" t="s">
        <v>181</v>
      </c>
      <c r="AH12" s="399"/>
      <c r="AI12" s="400"/>
      <c r="AJ12" s="174"/>
      <c r="AK12" s="295"/>
    </row>
    <row r="13" spans="2:37" x14ac:dyDescent="0.25">
      <c r="B13" s="295"/>
      <c r="C13" s="401" t="s">
        <v>182</v>
      </c>
      <c r="D13" s="420"/>
      <c r="E13" s="403"/>
      <c r="F13" s="199">
        <f>F8-F9</f>
        <v>-546000</v>
      </c>
      <c r="G13" s="309"/>
      <c r="H13" s="401" t="s">
        <v>182</v>
      </c>
      <c r="I13" s="402"/>
      <c r="J13" s="403"/>
      <c r="K13" s="208">
        <f>K8-K9</f>
        <v>291831</v>
      </c>
      <c r="L13" s="295"/>
      <c r="M13" s="401" t="s">
        <v>182</v>
      </c>
      <c r="N13" s="402"/>
      <c r="O13" s="403"/>
      <c r="P13" s="208">
        <f>P8-P9</f>
        <v>488198.625</v>
      </c>
      <c r="Q13" s="295"/>
      <c r="R13" s="401" t="s">
        <v>182</v>
      </c>
      <c r="S13" s="402"/>
      <c r="T13" s="403"/>
      <c r="U13" s="208">
        <f>U8-U9</f>
        <v>681501.75937499991</v>
      </c>
      <c r="V13" s="295"/>
      <c r="W13" s="401" t="s">
        <v>182</v>
      </c>
      <c r="X13" s="402"/>
      <c r="Y13" s="403"/>
      <c r="Z13" s="208">
        <f>Z8-Z9</f>
        <v>871633.14595312579</v>
      </c>
      <c r="AA13" s="295"/>
      <c r="AB13" s="401" t="s">
        <v>182</v>
      </c>
      <c r="AC13" s="402"/>
      <c r="AD13" s="403"/>
      <c r="AE13" s="208">
        <f>AE8-AE9</f>
        <v>1058481.7735614851</v>
      </c>
      <c r="AF13" s="295"/>
      <c r="AG13" s="401" t="s">
        <v>182</v>
      </c>
      <c r="AH13" s="402"/>
      <c r="AI13" s="403"/>
      <c r="AJ13" s="208">
        <f>AJ8-AJ9</f>
        <v>4058314.95</v>
      </c>
      <c r="AK13" s="295"/>
    </row>
    <row r="14" spans="2:37" x14ac:dyDescent="0.25">
      <c r="B14" s="295"/>
      <c r="C14" s="404" t="s">
        <v>183</v>
      </c>
      <c r="D14" s="422"/>
      <c r="E14" s="406"/>
      <c r="F14" s="203">
        <f>F15</f>
        <v>17021.675437274331</v>
      </c>
      <c r="G14" s="309"/>
      <c r="H14" s="404" t="s">
        <v>183</v>
      </c>
      <c r="I14" s="405"/>
      <c r="J14" s="406"/>
      <c r="K14" s="203">
        <f>K15</f>
        <v>75349.852222366477</v>
      </c>
      <c r="L14" s="295"/>
      <c r="M14" s="404" t="s">
        <v>183</v>
      </c>
      <c r="N14" s="405"/>
      <c r="O14" s="406"/>
      <c r="P14" s="203">
        <f>P15</f>
        <v>22706.642665325937</v>
      </c>
      <c r="Q14" s="295"/>
      <c r="R14" s="404" t="s">
        <v>183</v>
      </c>
      <c r="S14" s="405"/>
      <c r="T14" s="406"/>
      <c r="U14" s="203">
        <f>U15</f>
        <v>0</v>
      </c>
      <c r="V14" s="295"/>
      <c r="W14" s="404" t="s">
        <v>183</v>
      </c>
      <c r="X14" s="405"/>
      <c r="Y14" s="406"/>
      <c r="Z14" s="203">
        <f>Z15</f>
        <v>0</v>
      </c>
      <c r="AA14" s="295"/>
      <c r="AB14" s="404" t="s">
        <v>183</v>
      </c>
      <c r="AC14" s="405"/>
      <c r="AD14" s="406"/>
      <c r="AE14" s="203">
        <f>AE15</f>
        <v>0</v>
      </c>
      <c r="AF14" s="295"/>
      <c r="AG14" s="404" t="s">
        <v>183</v>
      </c>
      <c r="AH14" s="405"/>
      <c r="AI14" s="406"/>
      <c r="AJ14" s="203">
        <f>AJ15</f>
        <v>0</v>
      </c>
      <c r="AK14" s="295"/>
    </row>
    <row r="15" spans="2:37" x14ac:dyDescent="0.25">
      <c r="B15" s="295"/>
      <c r="C15" s="407" t="s">
        <v>184</v>
      </c>
      <c r="D15" s="421"/>
      <c r="E15" s="409"/>
      <c r="F15" s="176">
        <f>'Flujo de Efectivo'!D15</f>
        <v>17021.675437274331</v>
      </c>
      <c r="G15" s="295"/>
      <c r="H15" s="407" t="s">
        <v>184</v>
      </c>
      <c r="I15" s="408"/>
      <c r="J15" s="409"/>
      <c r="K15" s="173">
        <f>'Flujo de Efectivo'!E15</f>
        <v>75349.852222366477</v>
      </c>
      <c r="L15" s="295"/>
      <c r="M15" s="407" t="s">
        <v>184</v>
      </c>
      <c r="N15" s="408"/>
      <c r="O15" s="409"/>
      <c r="P15" s="173">
        <f>'Flujo de Efectivo'!F15</f>
        <v>22706.642665325937</v>
      </c>
      <c r="Q15" s="295"/>
      <c r="R15" s="407" t="s">
        <v>184</v>
      </c>
      <c r="S15" s="408"/>
      <c r="T15" s="409"/>
      <c r="U15" s="173">
        <v>0</v>
      </c>
      <c r="V15" s="295"/>
      <c r="W15" s="407" t="s">
        <v>184</v>
      </c>
      <c r="X15" s="408"/>
      <c r="Y15" s="409"/>
      <c r="Z15" s="173">
        <v>0</v>
      </c>
      <c r="AA15" s="295"/>
      <c r="AB15" s="407" t="s">
        <v>184</v>
      </c>
      <c r="AC15" s="408"/>
      <c r="AD15" s="409"/>
      <c r="AE15" s="173">
        <v>0</v>
      </c>
      <c r="AF15" s="295"/>
      <c r="AG15" s="407" t="s">
        <v>184</v>
      </c>
      <c r="AH15" s="408"/>
      <c r="AI15" s="409"/>
      <c r="AJ15" s="173">
        <v>0</v>
      </c>
      <c r="AK15" s="295"/>
    </row>
    <row r="16" spans="2:37" x14ac:dyDescent="0.25">
      <c r="B16" s="295"/>
      <c r="C16" s="401" t="s">
        <v>185</v>
      </c>
      <c r="D16" s="420"/>
      <c r="E16" s="403"/>
      <c r="F16" s="199">
        <f>F13-F14</f>
        <v>-563021.67543727439</v>
      </c>
      <c r="G16" s="295"/>
      <c r="H16" s="401" t="s">
        <v>185</v>
      </c>
      <c r="I16" s="402"/>
      <c r="J16" s="403"/>
      <c r="K16" s="208">
        <f>K13-K14</f>
        <v>216481.14777763351</v>
      </c>
      <c r="L16" s="295"/>
      <c r="M16" s="401" t="s">
        <v>185</v>
      </c>
      <c r="N16" s="402"/>
      <c r="O16" s="403"/>
      <c r="P16" s="208">
        <f>P13-P14</f>
        <v>465491.98233467404</v>
      </c>
      <c r="Q16" s="295"/>
      <c r="R16" s="401" t="s">
        <v>185</v>
      </c>
      <c r="S16" s="402"/>
      <c r="T16" s="403"/>
      <c r="U16" s="208">
        <f>U13-U14</f>
        <v>681501.75937499991</v>
      </c>
      <c r="V16" s="295"/>
      <c r="W16" s="401" t="s">
        <v>185</v>
      </c>
      <c r="X16" s="402"/>
      <c r="Y16" s="403"/>
      <c r="Z16" s="208">
        <f>Z13-Z14</f>
        <v>871633.14595312579</v>
      </c>
      <c r="AA16" s="295"/>
      <c r="AB16" s="401" t="s">
        <v>185</v>
      </c>
      <c r="AC16" s="402"/>
      <c r="AD16" s="403"/>
      <c r="AE16" s="208">
        <f>AE13-AE14</f>
        <v>1058481.7735614851</v>
      </c>
      <c r="AF16" s="295"/>
      <c r="AG16" s="401" t="s">
        <v>185</v>
      </c>
      <c r="AH16" s="402"/>
      <c r="AI16" s="403"/>
      <c r="AJ16" s="208">
        <f>AJ13-AJ14</f>
        <v>4058314.95</v>
      </c>
      <c r="AK16" s="295"/>
    </row>
    <row r="17" spans="2:37" x14ac:dyDescent="0.25">
      <c r="B17" s="295"/>
      <c r="C17" s="395" t="s">
        <v>186</v>
      </c>
      <c r="D17" s="419"/>
      <c r="E17" s="397"/>
      <c r="F17" s="201">
        <v>0</v>
      </c>
      <c r="G17" s="295"/>
      <c r="H17" s="395" t="s">
        <v>186</v>
      </c>
      <c r="I17" s="396"/>
      <c r="J17" s="397"/>
      <c r="K17" s="210">
        <f>K16*0.35</f>
        <v>75768.401722171722</v>
      </c>
      <c r="L17" s="295"/>
      <c r="M17" s="395" t="s">
        <v>186</v>
      </c>
      <c r="N17" s="396"/>
      <c r="O17" s="397"/>
      <c r="P17" s="210">
        <f>P16*0.35</f>
        <v>162922.19381713591</v>
      </c>
      <c r="Q17" s="295"/>
      <c r="R17" s="395" t="s">
        <v>186</v>
      </c>
      <c r="S17" s="396"/>
      <c r="T17" s="397"/>
      <c r="U17" s="210">
        <f>U16*0.35</f>
        <v>238525.61578124994</v>
      </c>
      <c r="V17" s="295"/>
      <c r="W17" s="395" t="s">
        <v>186</v>
      </c>
      <c r="X17" s="396"/>
      <c r="Y17" s="397"/>
      <c r="Z17" s="210">
        <f>Z16*0.35</f>
        <v>305071.60108359403</v>
      </c>
      <c r="AA17" s="295"/>
      <c r="AB17" s="395" t="s">
        <v>186</v>
      </c>
      <c r="AC17" s="396"/>
      <c r="AD17" s="397"/>
      <c r="AE17" s="210">
        <f>AE16*0.35</f>
        <v>370468.62074651977</v>
      </c>
      <c r="AF17" s="295"/>
      <c r="AG17" s="395" t="s">
        <v>186</v>
      </c>
      <c r="AH17" s="396"/>
      <c r="AI17" s="397"/>
      <c r="AJ17" s="210">
        <f>AJ16*0.35</f>
        <v>1420410.2324999999</v>
      </c>
      <c r="AK17" s="295"/>
    </row>
    <row r="18" spans="2:37" ht="15.6" thickBot="1" x14ac:dyDescent="0.3">
      <c r="B18" s="295"/>
      <c r="C18" s="410" t="s">
        <v>187</v>
      </c>
      <c r="D18" s="411"/>
      <c r="E18" s="412"/>
      <c r="F18" s="198">
        <f>F16-F17</f>
        <v>-563021.67543727439</v>
      </c>
      <c r="G18" s="295"/>
      <c r="H18" s="410" t="s">
        <v>187</v>
      </c>
      <c r="I18" s="411"/>
      <c r="J18" s="412"/>
      <c r="K18" s="211">
        <f>K16-K17</f>
        <v>140712.74605546179</v>
      </c>
      <c r="L18" s="295"/>
      <c r="M18" s="410" t="s">
        <v>187</v>
      </c>
      <c r="N18" s="411"/>
      <c r="O18" s="412"/>
      <c r="P18" s="211">
        <f>P16-P17</f>
        <v>302569.78851753811</v>
      </c>
      <c r="Q18" s="295"/>
      <c r="R18" s="410" t="s">
        <v>187</v>
      </c>
      <c r="S18" s="411"/>
      <c r="T18" s="412"/>
      <c r="U18" s="211">
        <f>U16-U17</f>
        <v>442976.14359374996</v>
      </c>
      <c r="V18" s="295"/>
      <c r="W18" s="410" t="s">
        <v>187</v>
      </c>
      <c r="X18" s="411"/>
      <c r="Y18" s="412"/>
      <c r="Z18" s="211">
        <f>Z16-Z17</f>
        <v>566561.54486953176</v>
      </c>
      <c r="AA18" s="295"/>
      <c r="AB18" s="410" t="s">
        <v>187</v>
      </c>
      <c r="AC18" s="411"/>
      <c r="AD18" s="412"/>
      <c r="AE18" s="211">
        <f>AE16-AE17</f>
        <v>688013.15281496535</v>
      </c>
      <c r="AF18" s="295"/>
      <c r="AG18" s="410" t="s">
        <v>187</v>
      </c>
      <c r="AH18" s="411"/>
      <c r="AI18" s="412"/>
      <c r="AJ18" s="211">
        <f>AJ16-AJ17</f>
        <v>2637904.7175000003</v>
      </c>
      <c r="AK18" s="295"/>
    </row>
    <row r="19" spans="2:37" x14ac:dyDescent="0.25">
      <c r="B19" s="295"/>
      <c r="C19" s="295"/>
      <c r="D19" s="295"/>
      <c r="E19" s="295"/>
      <c r="F19" s="295"/>
      <c r="G19" s="295"/>
      <c r="H19" s="295"/>
      <c r="I19" s="295"/>
      <c r="J19" s="295"/>
      <c r="K19" s="295"/>
      <c r="L19" s="295"/>
      <c r="M19" s="295"/>
      <c r="N19" s="295"/>
      <c r="O19" s="295"/>
      <c r="P19" s="295"/>
      <c r="Q19" s="295"/>
      <c r="R19" s="295"/>
      <c r="S19" s="295"/>
      <c r="T19" s="295"/>
      <c r="U19" s="295"/>
      <c r="V19" s="295"/>
      <c r="W19" s="295"/>
      <c r="X19" s="295"/>
      <c r="Y19" s="295"/>
      <c r="Z19" s="295"/>
      <c r="AA19" s="295"/>
      <c r="AB19" s="295"/>
      <c r="AC19" s="295"/>
      <c r="AD19" s="295"/>
      <c r="AE19" s="295"/>
      <c r="AF19" s="295"/>
      <c r="AG19" s="295"/>
      <c r="AH19" s="295"/>
      <c r="AI19" s="295"/>
      <c r="AJ19" s="295"/>
      <c r="AK19" s="295"/>
    </row>
    <row r="27" spans="2:37" x14ac:dyDescent="0.25">
      <c r="H27" s="427"/>
      <c r="I27" s="427"/>
      <c r="J27" s="427"/>
    </row>
    <row r="28" spans="2:37" x14ac:dyDescent="0.25">
      <c r="H28" s="427"/>
      <c r="I28" s="427"/>
      <c r="J28" s="427"/>
    </row>
    <row r="29" spans="2:37" x14ac:dyDescent="0.25">
      <c r="H29" s="427"/>
      <c r="I29" s="427"/>
      <c r="J29" s="427"/>
    </row>
    <row r="30" spans="2:37" x14ac:dyDescent="0.25">
      <c r="H30" s="427"/>
      <c r="I30" s="427"/>
      <c r="J30" s="427"/>
    </row>
    <row r="31" spans="2:37" x14ac:dyDescent="0.25">
      <c r="H31" s="427"/>
      <c r="I31" s="427"/>
      <c r="J31" s="427"/>
    </row>
    <row r="32" spans="2:37" x14ac:dyDescent="0.25">
      <c r="H32" s="427"/>
      <c r="I32" s="427"/>
      <c r="J32" s="427"/>
    </row>
    <row r="33" spans="8:11" x14ac:dyDescent="0.25">
      <c r="H33" s="427"/>
      <c r="I33" s="427"/>
      <c r="J33" s="427"/>
    </row>
    <row r="34" spans="8:11" x14ac:dyDescent="0.25">
      <c r="H34" s="427"/>
      <c r="I34" s="427"/>
      <c r="J34" s="427"/>
    </row>
    <row r="35" spans="8:11" x14ac:dyDescent="0.25">
      <c r="H35" s="427"/>
      <c r="I35" s="427"/>
      <c r="J35" s="427"/>
    </row>
    <row r="36" spans="8:11" x14ac:dyDescent="0.25">
      <c r="H36" s="427"/>
      <c r="I36" s="427"/>
      <c r="J36" s="427"/>
    </row>
    <row r="37" spans="8:11" x14ac:dyDescent="0.25">
      <c r="H37" s="427"/>
      <c r="I37" s="427"/>
      <c r="J37" s="427"/>
    </row>
    <row r="38" spans="8:11" x14ac:dyDescent="0.25">
      <c r="H38" s="427"/>
      <c r="I38" s="427"/>
      <c r="J38" s="427"/>
    </row>
    <row r="39" spans="8:11" x14ac:dyDescent="0.25">
      <c r="H39" s="427"/>
      <c r="I39" s="427"/>
      <c r="J39" s="427"/>
    </row>
    <row r="40" spans="8:11" x14ac:dyDescent="0.25">
      <c r="H40" s="427"/>
      <c r="I40" s="427"/>
      <c r="J40" s="427"/>
      <c r="K40" s="307"/>
    </row>
    <row r="41" spans="8:11" x14ac:dyDescent="0.25">
      <c r="H41" s="427"/>
      <c r="I41" s="427"/>
      <c r="J41" s="427"/>
    </row>
    <row r="51" spans="3:3" ht="15.6" x14ac:dyDescent="0.3">
      <c r="C51" s="306"/>
    </row>
  </sheetData>
  <mergeCells count="127">
    <mergeCell ref="H39:J39"/>
    <mergeCell ref="H40:J40"/>
    <mergeCell ref="H41:J41"/>
    <mergeCell ref="H30:J30"/>
    <mergeCell ref="H31:J31"/>
    <mergeCell ref="H32:J32"/>
    <mergeCell ref="H33:J33"/>
    <mergeCell ref="H34:J34"/>
    <mergeCell ref="H35:J35"/>
    <mergeCell ref="H36:J36"/>
    <mergeCell ref="H37:J37"/>
    <mergeCell ref="H38:J38"/>
    <mergeCell ref="H27:J27"/>
    <mergeCell ref="H28:J28"/>
    <mergeCell ref="H29:J29"/>
    <mergeCell ref="M18:O18"/>
    <mergeCell ref="M12:O12"/>
    <mergeCell ref="M13:O13"/>
    <mergeCell ref="M14:O14"/>
    <mergeCell ref="M15:O15"/>
    <mergeCell ref="M16:O16"/>
    <mergeCell ref="W17:Y17"/>
    <mergeCell ref="AG18:AI18"/>
    <mergeCell ref="AG13:AI13"/>
    <mergeCell ref="AG14:AI14"/>
    <mergeCell ref="AG15:AI15"/>
    <mergeCell ref="AG16:AI16"/>
    <mergeCell ref="AG17:AI17"/>
    <mergeCell ref="M17:O17"/>
    <mergeCell ref="R12:T12"/>
    <mergeCell ref="R13:T13"/>
    <mergeCell ref="R14:T14"/>
    <mergeCell ref="R15:T15"/>
    <mergeCell ref="R16:T16"/>
    <mergeCell ref="W14:Y14"/>
    <mergeCell ref="W15:Y15"/>
    <mergeCell ref="W16:Y16"/>
    <mergeCell ref="AG8:AI8"/>
    <mergeCell ref="AG9:AI9"/>
    <mergeCell ref="AG10:AI10"/>
    <mergeCell ref="AG11:AI11"/>
    <mergeCell ref="AG12:AI12"/>
    <mergeCell ref="AG3:AJ3"/>
    <mergeCell ref="AG4:AJ4"/>
    <mergeCell ref="AG5:AI5"/>
    <mergeCell ref="AG6:AI6"/>
    <mergeCell ref="AG7:AI7"/>
    <mergeCell ref="C5:E5"/>
    <mergeCell ref="C6:E6"/>
    <mergeCell ref="C7:E7"/>
    <mergeCell ref="C8:E8"/>
    <mergeCell ref="C4:F4"/>
    <mergeCell ref="M3:P3"/>
    <mergeCell ref="M4:P4"/>
    <mergeCell ref="M5:O5"/>
    <mergeCell ref="M6:O6"/>
    <mergeCell ref="M7:O7"/>
    <mergeCell ref="M8:O8"/>
    <mergeCell ref="H3:K3"/>
    <mergeCell ref="C3:F3"/>
    <mergeCell ref="H5:J5"/>
    <mergeCell ref="H6:J6"/>
    <mergeCell ref="H7:J7"/>
    <mergeCell ref="H4:K4"/>
    <mergeCell ref="H8:J8"/>
    <mergeCell ref="C9:E9"/>
    <mergeCell ref="C13:E13"/>
    <mergeCell ref="C15:E15"/>
    <mergeCell ref="C16:E16"/>
    <mergeCell ref="C14:E14"/>
    <mergeCell ref="C18:E18"/>
    <mergeCell ref="H15:J15"/>
    <mergeCell ref="H16:J16"/>
    <mergeCell ref="C17:E17"/>
    <mergeCell ref="H18:J18"/>
    <mergeCell ref="C10:E10"/>
    <mergeCell ref="C11:E11"/>
    <mergeCell ref="H9:J9"/>
    <mergeCell ref="C12:E12"/>
    <mergeCell ref="H10:J10"/>
    <mergeCell ref="H11:J11"/>
    <mergeCell ref="H12:J12"/>
    <mergeCell ref="H13:J13"/>
    <mergeCell ref="H14:J14"/>
    <mergeCell ref="H17:J17"/>
    <mergeCell ref="R3:U3"/>
    <mergeCell ref="R4:U4"/>
    <mergeCell ref="R5:T5"/>
    <mergeCell ref="R6:T6"/>
    <mergeCell ref="R7:T7"/>
    <mergeCell ref="R8:T8"/>
    <mergeCell ref="R9:T9"/>
    <mergeCell ref="R10:T10"/>
    <mergeCell ref="R11:T11"/>
    <mergeCell ref="M9:O9"/>
    <mergeCell ref="M10:O10"/>
    <mergeCell ref="M11:O11"/>
    <mergeCell ref="AB18:AD18"/>
    <mergeCell ref="W18:Y18"/>
    <mergeCell ref="AB3:AE3"/>
    <mergeCell ref="AB4:AE4"/>
    <mergeCell ref="AB5:AD5"/>
    <mergeCell ref="AB6:AD6"/>
    <mergeCell ref="AB7:AD7"/>
    <mergeCell ref="AB8:AD8"/>
    <mergeCell ref="R17:T17"/>
    <mergeCell ref="R18:T18"/>
    <mergeCell ref="W3:Z3"/>
    <mergeCell ref="W4:Z4"/>
    <mergeCell ref="W5:Y5"/>
    <mergeCell ref="W6:Y6"/>
    <mergeCell ref="W7:Y7"/>
    <mergeCell ref="W8:Y8"/>
    <mergeCell ref="W9:Y9"/>
    <mergeCell ref="W10:Y10"/>
    <mergeCell ref="W11:Y11"/>
    <mergeCell ref="W12:Y12"/>
    <mergeCell ref="W13:Y13"/>
    <mergeCell ref="AB9:AD9"/>
    <mergeCell ref="AB10:AD10"/>
    <mergeCell ref="AB11:AD11"/>
    <mergeCell ref="AB12:AD12"/>
    <mergeCell ref="AB13:AD13"/>
    <mergeCell ref="AB14:AD14"/>
    <mergeCell ref="AB15:AD15"/>
    <mergeCell ref="AB16:AD16"/>
    <mergeCell ref="AB17:AD1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39C6A-E71C-43FA-8EE3-44D94EFCBC74}">
  <sheetPr codeName="Hoja11"/>
  <dimension ref="B2:L32"/>
  <sheetViews>
    <sheetView topLeftCell="A8" workbookViewId="0">
      <selection activeCell="K19" sqref="K19"/>
    </sheetView>
  </sheetViews>
  <sheetFormatPr baseColWidth="10" defaultColWidth="8.90625" defaultRowHeight="15" x14ac:dyDescent="0.25"/>
  <cols>
    <col min="1" max="2" width="8.90625" style="272"/>
    <col min="3" max="3" width="26.08984375" style="272" customWidth="1"/>
    <col min="4" max="4" width="15.453125" style="272" bestFit="1" customWidth="1"/>
    <col min="5" max="5" width="26.453125" style="272" customWidth="1"/>
    <col min="6" max="7" width="16" style="272" customWidth="1"/>
    <col min="8" max="8" width="18.54296875" style="272" customWidth="1"/>
    <col min="9" max="9" width="19.453125" style="272" customWidth="1"/>
    <col min="10" max="10" width="8.90625" style="272" customWidth="1"/>
    <col min="11" max="11" width="12.36328125" style="272" customWidth="1"/>
    <col min="12" max="12" width="12" style="272" bestFit="1" customWidth="1"/>
    <col min="13" max="16384" width="8.90625" style="272"/>
  </cols>
  <sheetData>
    <row r="2" spans="2:9" ht="16.2" x14ac:dyDescent="0.35">
      <c r="B2" s="213"/>
      <c r="C2" s="213"/>
      <c r="D2" s="213">
        <v>0</v>
      </c>
      <c r="E2" s="213">
        <v>1</v>
      </c>
      <c r="F2" s="213">
        <v>2</v>
      </c>
      <c r="G2" s="213">
        <v>3</v>
      </c>
      <c r="H2" s="213">
        <v>4</v>
      </c>
      <c r="I2" s="213">
        <v>5</v>
      </c>
    </row>
    <row r="3" spans="2:9" ht="16.2" x14ac:dyDescent="0.35">
      <c r="B3" s="213"/>
      <c r="C3" s="213"/>
      <c r="D3" s="213">
        <v>2019</v>
      </c>
      <c r="E3" s="213">
        <v>2020</v>
      </c>
      <c r="F3" s="213">
        <v>2021</v>
      </c>
      <c r="G3" s="213">
        <v>2022</v>
      </c>
      <c r="H3" s="213">
        <v>2023</v>
      </c>
      <c r="I3" s="213">
        <v>2024</v>
      </c>
    </row>
    <row r="4" spans="2:9" ht="16.2" x14ac:dyDescent="0.35">
      <c r="B4" s="214" t="s">
        <v>188</v>
      </c>
      <c r="C4" s="215" t="s">
        <v>189</v>
      </c>
      <c r="D4" s="256">
        <f>'Inversion Total'!D79</f>
        <v>390000</v>
      </c>
      <c r="E4" s="256">
        <f>D28</f>
        <v>0</v>
      </c>
      <c r="F4" s="256">
        <f>E28</f>
        <v>20309.914837515913</v>
      </c>
      <c r="G4" s="256">
        <f>F28</f>
        <v>289872.46886877948</v>
      </c>
      <c r="H4" s="256">
        <f>G28</f>
        <v>1017163.2282437799</v>
      </c>
      <c r="I4" s="256">
        <f>H28</f>
        <v>1934585.3741969052</v>
      </c>
    </row>
    <row r="5" spans="2:9" ht="16.2" x14ac:dyDescent="0.35">
      <c r="B5" s="216" t="s">
        <v>188</v>
      </c>
      <c r="C5" s="217" t="s">
        <v>148</v>
      </c>
      <c r="D5" s="257">
        <f t="shared" ref="D5:I5" si="0">SUM(D6:D8)</f>
        <v>572427.01419374731</v>
      </c>
      <c r="E5" s="257">
        <f t="shared" si="0"/>
        <v>2839245</v>
      </c>
      <c r="F5" s="257">
        <f t="shared" si="0"/>
        <v>3123169.5</v>
      </c>
      <c r="G5" s="257">
        <f t="shared" si="0"/>
        <v>3407094</v>
      </c>
      <c r="H5" s="257">
        <f t="shared" si="0"/>
        <v>3691018.5</v>
      </c>
      <c r="I5" s="257">
        <f t="shared" si="0"/>
        <v>3974943</v>
      </c>
    </row>
    <row r="6" spans="2:9" ht="16.2" x14ac:dyDescent="0.35">
      <c r="B6" s="212"/>
      <c r="C6" s="172" t="s">
        <v>190</v>
      </c>
      <c r="D6" s="257">
        <f>'Inversion Total'!D81</f>
        <v>519542</v>
      </c>
      <c r="E6" s="257">
        <v>0</v>
      </c>
      <c r="F6" s="257">
        <v>0</v>
      </c>
      <c r="G6" s="257">
        <v>0</v>
      </c>
      <c r="H6" s="257">
        <v>0</v>
      </c>
      <c r="I6" s="257">
        <v>0</v>
      </c>
    </row>
    <row r="7" spans="2:9" ht="16.2" x14ac:dyDescent="0.35">
      <c r="B7" s="212"/>
      <c r="C7" s="172" t="s">
        <v>191</v>
      </c>
      <c r="D7" s="257">
        <f>'Inversion Total'!D80</f>
        <v>52885.014193747353</v>
      </c>
      <c r="E7" s="257"/>
      <c r="F7" s="257"/>
      <c r="G7" s="257"/>
      <c r="H7" s="257"/>
      <c r="I7" s="257"/>
    </row>
    <row r="8" spans="2:9" ht="16.2" x14ac:dyDescent="0.35">
      <c r="B8" s="212"/>
      <c r="C8" s="172" t="s">
        <v>42</v>
      </c>
      <c r="D8" s="257">
        <v>0</v>
      </c>
      <c r="E8" s="257">
        <f>'Presupuesto de Ingresos'!E7</f>
        <v>2839245</v>
      </c>
      <c r="F8" s="257">
        <f>'Presupuesto de Ingresos'!H7</f>
        <v>3123169.5</v>
      </c>
      <c r="G8" s="257">
        <f>'Presupuesto de Ingresos'!K7</f>
        <v>3407094</v>
      </c>
      <c r="H8" s="257">
        <f>'Presupuesto de Ingresos'!N7</f>
        <v>3691018.5</v>
      </c>
      <c r="I8" s="257">
        <f>'Presupuesto de Ingresos'!Q7</f>
        <v>3974943</v>
      </c>
    </row>
    <row r="9" spans="2:9" ht="16.2" x14ac:dyDescent="0.35">
      <c r="B9" s="218" t="s">
        <v>192</v>
      </c>
      <c r="C9" s="219" t="s">
        <v>193</v>
      </c>
      <c r="D9" s="258">
        <f>SUM(D10:D27)</f>
        <v>962427.01419374743</v>
      </c>
      <c r="E9" s="258">
        <f>SUM(E10:E27)</f>
        <v>2818935.0851624841</v>
      </c>
      <c r="F9" s="258">
        <f>SUM(F10:F27)</f>
        <v>2853606.9459687364</v>
      </c>
      <c r="G9" s="258">
        <f t="shared" ref="G9:H9" si="1">SUM(G10:G27)</f>
        <v>2679803.2406249996</v>
      </c>
      <c r="H9" s="258">
        <f t="shared" si="1"/>
        <v>2773596.3540468742</v>
      </c>
      <c r="I9" s="258">
        <f>SUM(I10:I27)</f>
        <v>2870672.2264385149</v>
      </c>
    </row>
    <row r="10" spans="2:9" ht="16.2" x14ac:dyDescent="0.35">
      <c r="B10" s="218" t="s">
        <v>194</v>
      </c>
      <c r="C10" s="205" t="s">
        <v>195</v>
      </c>
      <c r="D10" s="258">
        <f>'Inversion Total'!$F$17</f>
        <v>45899</v>
      </c>
      <c r="E10" s="258"/>
      <c r="F10" s="258"/>
      <c r="G10" s="258"/>
      <c r="H10" s="258"/>
      <c r="I10" s="258"/>
    </row>
    <row r="11" spans="2:9" ht="16.2" x14ac:dyDescent="0.35">
      <c r="B11" s="218" t="s">
        <v>194</v>
      </c>
      <c r="C11" s="205" t="s">
        <v>58</v>
      </c>
      <c r="D11" s="258">
        <f>'Inversion Total'!$E$27</f>
        <v>44000</v>
      </c>
      <c r="E11" s="258"/>
      <c r="F11" s="258"/>
      <c r="G11" s="258"/>
      <c r="H11" s="258"/>
      <c r="I11" s="258"/>
    </row>
    <row r="12" spans="2:9" ht="16.2" x14ac:dyDescent="0.35">
      <c r="B12" s="218" t="s">
        <v>194</v>
      </c>
      <c r="C12" s="205" t="s">
        <v>196</v>
      </c>
      <c r="D12" s="258">
        <f>'Inversion Total'!$E$32</f>
        <v>230000</v>
      </c>
      <c r="E12" s="258"/>
      <c r="F12" s="258"/>
      <c r="G12" s="258"/>
      <c r="H12" s="258"/>
      <c r="I12" s="258"/>
    </row>
    <row r="13" spans="2:9" ht="16.2" x14ac:dyDescent="0.35">
      <c r="B13" s="218" t="s">
        <v>197</v>
      </c>
      <c r="C13" s="205" t="s">
        <v>198</v>
      </c>
      <c r="D13" s="258">
        <f>'Inversion Total'!E64</f>
        <v>472500</v>
      </c>
      <c r="E13" s="258">
        <f>'Costos, Gastos y Precio'!I24</f>
        <v>1215000</v>
      </c>
      <c r="F13" s="258">
        <f>'Costos, Gastos y Precio'!Q24</f>
        <v>1257525</v>
      </c>
      <c r="G13" s="258">
        <f>'Costos, Gastos y Precio'!Y24</f>
        <v>1301538.375</v>
      </c>
      <c r="H13" s="258">
        <f>'Costos, Gastos y Precio'!AG24</f>
        <v>1347092.2181249997</v>
      </c>
      <c r="I13" s="258">
        <f>'Costos, Gastos y Precio'!AO24</f>
        <v>1394240.4457593746</v>
      </c>
    </row>
    <row r="14" spans="2:9" ht="16.2" x14ac:dyDescent="0.35">
      <c r="B14" s="218" t="s">
        <v>194</v>
      </c>
      <c r="C14" s="205" t="s">
        <v>199</v>
      </c>
      <c r="D14" s="258">
        <f>'Inversion Total'!E66</f>
        <v>35863.338756473022</v>
      </c>
      <c r="E14" s="258">
        <f>SUM(Financiamiento!G8:G19)</f>
        <v>241960.23294011765</v>
      </c>
      <c r="F14" s="258">
        <f>SUM(Financiamiento!G20:G29)</f>
        <v>241718.42830341085</v>
      </c>
      <c r="G14" s="258">
        <v>0</v>
      </c>
      <c r="H14" s="258">
        <v>0</v>
      </c>
      <c r="I14" s="258">
        <v>0</v>
      </c>
    </row>
    <row r="15" spans="2:9" ht="16.2" x14ac:dyDescent="0.35">
      <c r="B15" s="218" t="s">
        <v>200</v>
      </c>
      <c r="C15" s="205" t="s">
        <v>201</v>
      </c>
      <c r="D15" s="258">
        <f>'Inversion Total'!E67</f>
        <v>17021.675437274331</v>
      </c>
      <c r="E15" s="258">
        <f>SUM(Financiamiento!E8:E19)</f>
        <v>75349.852222366477</v>
      </c>
      <c r="F15" s="258">
        <f>SUM(Financiamiento!E20:E29)</f>
        <v>22706.642665325937</v>
      </c>
      <c r="G15" s="258">
        <v>0</v>
      </c>
      <c r="H15" s="258">
        <v>0</v>
      </c>
      <c r="I15" s="258">
        <v>0</v>
      </c>
    </row>
    <row r="16" spans="2:9" ht="16.2" x14ac:dyDescent="0.35">
      <c r="B16" s="218" t="s">
        <v>197</v>
      </c>
      <c r="C16" s="205" t="s">
        <v>202</v>
      </c>
      <c r="D16" s="258">
        <f>'Inversion Total'!E57</f>
        <v>1500</v>
      </c>
      <c r="E16" s="258">
        <f>'Costos, Gastos y Precio'!I27</f>
        <v>18000</v>
      </c>
      <c r="F16" s="258">
        <f>'Costos, Gastos y Precio'!Q27</f>
        <v>18629.999999999996</v>
      </c>
      <c r="G16" s="258">
        <f>'Costos, Gastos y Precio'!Y27</f>
        <v>19282.049999999996</v>
      </c>
      <c r="H16" s="258">
        <f>'Costos, Gastos y Precio'!AG27</f>
        <v>19956.921749999994</v>
      </c>
      <c r="I16" s="258">
        <f>'Costos, Gastos y Precio'!AO27</f>
        <v>20655.414011249992</v>
      </c>
    </row>
    <row r="17" spans="2:12" ht="16.2" x14ac:dyDescent="0.35">
      <c r="B17" s="218" t="s">
        <v>197</v>
      </c>
      <c r="C17" s="205" t="s">
        <v>203</v>
      </c>
      <c r="D17" s="258">
        <f>'Inversion Total'!E61</f>
        <v>3000</v>
      </c>
      <c r="E17" s="258">
        <f>'Costos, Gastos y Precio'!I29</f>
        <v>36000</v>
      </c>
      <c r="F17" s="258">
        <f>'Costos, Gastos y Precio'!Q29</f>
        <v>37259.999999999993</v>
      </c>
      <c r="G17" s="258">
        <f>'Costos, Gastos y Precio'!W29</f>
        <v>38564.099999999991</v>
      </c>
      <c r="H17" s="258">
        <f>'Costos, Gastos y Precio'!AG29</f>
        <v>39913.843499999988</v>
      </c>
      <c r="I17" s="258">
        <f>'Costos, Gastos y Precio'!AO29</f>
        <v>41310.828022499983</v>
      </c>
    </row>
    <row r="18" spans="2:12" ht="16.2" x14ac:dyDescent="0.35">
      <c r="B18" s="218" t="s">
        <v>197</v>
      </c>
      <c r="C18" s="205" t="s">
        <v>204</v>
      </c>
      <c r="D18" s="258">
        <f>'Inversion Total'!E60</f>
        <v>1000</v>
      </c>
      <c r="E18" s="258">
        <f>'Costos, Gastos y Precio'!I30</f>
        <v>12000</v>
      </c>
      <c r="F18" s="258">
        <f>'Costos, Gastos y Precio'!Q30</f>
        <v>12420</v>
      </c>
      <c r="G18" s="258">
        <f>'Costos, Gastos y Precio'!Y30</f>
        <v>12854.699999999999</v>
      </c>
      <c r="H18" s="258">
        <f>'Costos, Gastos y Precio'!AG30</f>
        <v>13304.614499999998</v>
      </c>
      <c r="I18" s="258">
        <f>'Costos, Gastos y Precio'!AO30</f>
        <v>13770.276007499997</v>
      </c>
      <c r="K18" s="303"/>
    </row>
    <row r="19" spans="2:12" ht="16.2" x14ac:dyDescent="0.35">
      <c r="B19" s="218" t="s">
        <v>194</v>
      </c>
      <c r="C19" s="205" t="s">
        <v>205</v>
      </c>
      <c r="D19" s="258">
        <f>'Inversion Total'!E55+'Inversion Total'!E56</f>
        <v>13643</v>
      </c>
      <c r="E19" s="258">
        <v>0</v>
      </c>
      <c r="F19" s="258">
        <v>0</v>
      </c>
      <c r="G19" s="258">
        <v>0</v>
      </c>
      <c r="H19" s="258">
        <v>0</v>
      </c>
      <c r="I19" s="258">
        <v>0</v>
      </c>
      <c r="L19" s="303"/>
    </row>
    <row r="20" spans="2:12" ht="16.2" x14ac:dyDescent="0.35">
      <c r="B20" s="218" t="s">
        <v>206</v>
      </c>
      <c r="C20" s="205" t="s">
        <v>150</v>
      </c>
      <c r="D20" s="258">
        <f>'Inversion Total'!E54</f>
        <v>3000</v>
      </c>
      <c r="E20" s="258">
        <f>'Costos, Gastos y Precio'!I28</f>
        <v>18000</v>
      </c>
      <c r="F20" s="258">
        <f>'Costos, Gastos y Precio'!Q28</f>
        <v>18629.999999999996</v>
      </c>
      <c r="G20" s="258">
        <f>'Costos, Gastos y Precio'!Y28</f>
        <v>19282.049999999996</v>
      </c>
      <c r="H20" s="258">
        <f>'Costos, Gastos y Precio'!AG28</f>
        <v>19956.921749999994</v>
      </c>
      <c r="I20" s="258">
        <f>'Costos, Gastos y Precio'!AO28</f>
        <v>20655.414011249992</v>
      </c>
    </row>
    <row r="21" spans="2:12" ht="16.2" x14ac:dyDescent="0.35">
      <c r="B21" s="218" t="s">
        <v>197</v>
      </c>
      <c r="C21" s="205" t="s">
        <v>207</v>
      </c>
      <c r="D21" s="258">
        <f>'Inversion Total'!E53</f>
        <v>60000</v>
      </c>
      <c r="E21" s="258">
        <f>'Costos, Gastos y Precio'!I25</f>
        <v>360000</v>
      </c>
      <c r="F21" s="258">
        <f>'Costos, Gastos y Precio'!Q25</f>
        <v>372599.99999999994</v>
      </c>
      <c r="G21" s="258">
        <f>'Costos, Gastos y Precio'!Y25</f>
        <v>385640.99999999988</v>
      </c>
      <c r="H21" s="258">
        <f>'Costos, Gastos y Precio'!AG25</f>
        <v>399138.43499999988</v>
      </c>
      <c r="I21" s="258">
        <f>'Costos, Gastos y Precio'!AO25</f>
        <v>413108.28022499982</v>
      </c>
    </row>
    <row r="22" spans="2:12" ht="16.2" x14ac:dyDescent="0.35">
      <c r="B22" s="218" t="s">
        <v>194</v>
      </c>
      <c r="C22" s="205" t="s">
        <v>208</v>
      </c>
      <c r="D22" s="258">
        <f>'Inversion Total'!E52</f>
        <v>30000</v>
      </c>
      <c r="E22" s="258">
        <v>0</v>
      </c>
      <c r="F22" s="258">
        <v>0</v>
      </c>
      <c r="G22" s="258">
        <v>0</v>
      </c>
      <c r="H22" s="258">
        <v>0</v>
      </c>
      <c r="I22" s="258">
        <v>0</v>
      </c>
      <c r="K22" s="303"/>
    </row>
    <row r="23" spans="2:12" ht="16.2" x14ac:dyDescent="0.35">
      <c r="B23" s="218" t="s">
        <v>206</v>
      </c>
      <c r="C23" s="241" t="s">
        <v>128</v>
      </c>
      <c r="D23" s="258">
        <f>'Inversion Total'!E62</f>
        <v>5000</v>
      </c>
      <c r="E23" s="258">
        <v>0</v>
      </c>
      <c r="F23" s="258">
        <v>0</v>
      </c>
      <c r="G23" s="258">
        <v>0</v>
      </c>
      <c r="H23" s="258">
        <v>0</v>
      </c>
      <c r="I23" s="258">
        <v>0</v>
      </c>
    </row>
    <row r="24" spans="2:12" ht="16.2" x14ac:dyDescent="0.35">
      <c r="B24" s="218" t="s">
        <v>206</v>
      </c>
      <c r="C24" s="240" t="s">
        <v>209</v>
      </c>
      <c r="D24" s="258">
        <v>0</v>
      </c>
      <c r="E24" s="258">
        <f>'Costos, Gastos y Precio'!I22</f>
        <v>842625</v>
      </c>
      <c r="F24" s="258">
        <f>'Costos, Gastos y Precio'!Q21</f>
        <v>872116.87499999988</v>
      </c>
      <c r="G24" s="258">
        <f>'Costos, Gastos y Precio'!Y21</f>
        <v>902640.96562499984</v>
      </c>
      <c r="H24" s="258">
        <f>'Costos, Gastos y Precio'!AG21</f>
        <v>934233.39942187478</v>
      </c>
      <c r="I24" s="258">
        <f>'Costos, Gastos y Precio'!AO21</f>
        <v>966931.56840164028</v>
      </c>
    </row>
    <row r="25" spans="2:12" ht="16.2" x14ac:dyDescent="0.35">
      <c r="B25" s="218"/>
      <c r="C25" s="240"/>
      <c r="D25" s="258"/>
      <c r="E25" s="258"/>
      <c r="F25" s="258"/>
      <c r="G25" s="258"/>
      <c r="H25" s="258"/>
      <c r="I25" s="258"/>
    </row>
    <row r="26" spans="2:12" ht="16.2" x14ac:dyDescent="0.35">
      <c r="B26" s="218"/>
      <c r="C26" s="220"/>
      <c r="D26" s="258"/>
      <c r="E26" s="258"/>
      <c r="F26" s="258"/>
      <c r="G26" s="258"/>
      <c r="H26" s="258"/>
      <c r="I26" s="258"/>
    </row>
    <row r="27" spans="2:12" ht="16.2" x14ac:dyDescent="0.35">
      <c r="B27" s="218"/>
      <c r="C27" s="220"/>
      <c r="D27" s="258"/>
      <c r="E27" s="258"/>
      <c r="F27" s="258"/>
      <c r="G27" s="258"/>
      <c r="H27" s="258"/>
      <c r="I27" s="258"/>
    </row>
    <row r="28" spans="2:12" ht="16.2" x14ac:dyDescent="0.35">
      <c r="B28" s="221"/>
      <c r="C28" s="222" t="s">
        <v>210</v>
      </c>
      <c r="D28" s="259">
        <f>D4 + D5 - D9</f>
        <v>0</v>
      </c>
      <c r="E28" s="259">
        <f>E4 + E5 - E9</f>
        <v>20309.914837515913</v>
      </c>
      <c r="F28" s="259">
        <f>F4 + F5 - F9</f>
        <v>289872.46886877948</v>
      </c>
      <c r="G28" s="259">
        <f t="shared" ref="G28:I28" si="2">G4 + G5 - G9</f>
        <v>1017163.2282437799</v>
      </c>
      <c r="H28" s="259">
        <f>H4 + H5 - H9</f>
        <v>1934585.3741969052</v>
      </c>
      <c r="I28" s="259">
        <f t="shared" si="2"/>
        <v>3038856.1477583908</v>
      </c>
    </row>
    <row r="29" spans="2:12" ht="16.2" x14ac:dyDescent="0.35">
      <c r="B29" s="310"/>
      <c r="C29" s="311"/>
      <c r="D29" s="312"/>
      <c r="E29" s="312"/>
      <c r="F29" s="312"/>
      <c r="G29" s="312"/>
      <c r="H29" s="312"/>
      <c r="I29" s="312"/>
    </row>
    <row r="30" spans="2:12" ht="20.399999999999999" x14ac:dyDescent="0.35">
      <c r="C30" s="313"/>
      <c r="D30" s="313"/>
      <c r="E30" s="313"/>
      <c r="F30" s="313"/>
      <c r="G30" s="313"/>
      <c r="H30" s="313"/>
      <c r="I30" s="313"/>
    </row>
    <row r="31" spans="2:12" x14ac:dyDescent="0.25">
      <c r="C31" s="303"/>
    </row>
    <row r="32" spans="2:12" x14ac:dyDescent="0.25">
      <c r="C32" s="30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77C93-C58D-44FA-ACFB-2F72369C448F}">
  <sheetPr codeName="Hoja10"/>
  <dimension ref="A1:AW57"/>
  <sheetViews>
    <sheetView workbookViewId="0"/>
  </sheetViews>
  <sheetFormatPr baseColWidth="10" defaultColWidth="8.90625" defaultRowHeight="15" x14ac:dyDescent="0.25"/>
  <cols>
    <col min="1" max="1" width="32.08984375" style="272" bestFit="1" customWidth="1"/>
    <col min="2" max="2" width="11.08984375" style="272" bestFit="1" customWidth="1"/>
    <col min="3" max="3" width="12.36328125" style="272" bestFit="1" customWidth="1"/>
    <col min="4" max="4" width="11.08984375" style="272" bestFit="1" customWidth="1"/>
    <col min="5" max="5" width="14" style="272" bestFit="1" customWidth="1"/>
    <col min="6" max="6" width="11.08984375" style="272" bestFit="1" customWidth="1"/>
    <col min="7" max="8" width="12.36328125" style="272" bestFit="1" customWidth="1"/>
    <col min="9" max="9" width="14" style="272" bestFit="1" customWidth="1"/>
    <col min="10" max="10" width="11.08984375" style="272" bestFit="1" customWidth="1"/>
    <col min="11" max="11" width="12.36328125" style="272" bestFit="1" customWidth="1"/>
    <col min="12" max="12" width="11.08984375" style="272" bestFit="1" customWidth="1"/>
    <col min="13" max="13" width="14" style="272" bestFit="1" customWidth="1"/>
    <col min="14" max="14" width="11.08984375" style="272" bestFit="1" customWidth="1"/>
    <col min="15" max="16" width="12.36328125" style="272" bestFit="1" customWidth="1"/>
    <col min="17" max="17" width="14" style="272" bestFit="1" customWidth="1"/>
    <col min="18" max="18" width="11.08984375" style="272" bestFit="1" customWidth="1"/>
    <col min="19" max="20" width="12.36328125" style="272" bestFit="1" customWidth="1"/>
    <col min="21" max="21" width="14" style="272" bestFit="1" customWidth="1"/>
    <col min="22" max="22" width="11.08984375" style="272" bestFit="1" customWidth="1"/>
    <col min="23" max="24" width="12.36328125" style="272" bestFit="1" customWidth="1"/>
    <col min="25" max="25" width="14" style="272" bestFit="1" customWidth="1"/>
    <col min="26" max="26" width="11.08984375" style="272" bestFit="1" customWidth="1"/>
    <col min="27" max="28" width="12.36328125" style="272" bestFit="1" customWidth="1"/>
    <col min="29" max="29" width="14" style="272" bestFit="1" customWidth="1"/>
    <col min="30" max="30" width="11.08984375" style="272" bestFit="1" customWidth="1"/>
    <col min="31" max="31" width="14" style="272" bestFit="1" customWidth="1"/>
    <col min="32" max="32" width="12.36328125" style="272" bestFit="1" customWidth="1"/>
    <col min="33" max="33" width="14" style="272" bestFit="1" customWidth="1"/>
    <col min="34" max="34" width="11.08984375" style="272" bestFit="1" customWidth="1"/>
    <col min="35" max="36" width="12.36328125" style="272" bestFit="1" customWidth="1"/>
    <col min="37" max="37" width="14" style="272" bestFit="1" customWidth="1"/>
    <col min="38" max="38" width="11.08984375" style="272" bestFit="1" customWidth="1"/>
    <col min="39" max="39" width="14" style="272" bestFit="1" customWidth="1"/>
    <col min="40" max="40" width="12.36328125" style="272" bestFit="1" customWidth="1"/>
    <col min="41" max="41" width="14" style="272" bestFit="1" customWidth="1"/>
    <col min="42" max="42" width="11.08984375" style="272" bestFit="1" customWidth="1"/>
    <col min="43" max="44" width="12.36328125" style="272" bestFit="1" customWidth="1"/>
    <col min="45" max="45" width="14" style="272" bestFit="1" customWidth="1"/>
    <col min="46" max="46" width="11.08984375" style="272" bestFit="1" customWidth="1"/>
    <col min="47" max="47" width="14" style="272" bestFit="1" customWidth="1"/>
    <col min="48" max="48" width="12.36328125" style="272" bestFit="1" customWidth="1"/>
    <col min="49" max="49" width="14" style="272" bestFit="1" customWidth="1"/>
    <col min="50" max="16384" width="8.90625" style="272"/>
  </cols>
  <sheetData>
    <row r="1" spans="1:23" ht="15.6" x14ac:dyDescent="0.3">
      <c r="B1" s="314"/>
      <c r="F1" s="119" t="s">
        <v>229</v>
      </c>
      <c r="G1" s="63"/>
    </row>
    <row r="2" spans="1:23" ht="15.75" customHeight="1" x14ac:dyDescent="0.3">
      <c r="A2" s="447" t="s">
        <v>230</v>
      </c>
      <c r="B2" s="447"/>
      <c r="C2" s="447"/>
      <c r="D2" s="120">
        <v>3.5000000000000003E-2</v>
      </c>
      <c r="F2" s="121">
        <v>70</v>
      </c>
      <c r="G2" s="63"/>
    </row>
    <row r="3" spans="1:23" x14ac:dyDescent="0.25">
      <c r="B3" s="314"/>
    </row>
    <row r="4" spans="1:23" ht="18" x14ac:dyDescent="0.35">
      <c r="A4" s="448" t="s">
        <v>231</v>
      </c>
      <c r="B4" s="448"/>
      <c r="C4" s="448"/>
      <c r="D4" s="448"/>
      <c r="E4" s="448"/>
      <c r="F4" s="63"/>
      <c r="G4" s="63"/>
      <c r="H4" s="63"/>
      <c r="I4" s="63"/>
      <c r="J4" s="63"/>
      <c r="K4" s="63"/>
      <c r="L4" s="63"/>
      <c r="M4" s="63"/>
    </row>
    <row r="5" spans="1:23" ht="18" x14ac:dyDescent="0.35">
      <c r="A5" s="452" t="s">
        <v>232</v>
      </c>
      <c r="B5" s="449">
        <v>2020</v>
      </c>
      <c r="C5" s="450"/>
      <c r="D5" s="122">
        <v>2021</v>
      </c>
      <c r="E5" s="123"/>
      <c r="F5" s="124">
        <v>2022</v>
      </c>
      <c r="G5" s="125"/>
      <c r="H5" s="449">
        <v>2023</v>
      </c>
      <c r="I5" s="450"/>
      <c r="J5" s="449">
        <v>2024</v>
      </c>
      <c r="K5" s="451"/>
      <c r="L5" s="449">
        <v>2025</v>
      </c>
      <c r="M5" s="451"/>
    </row>
    <row r="6" spans="1:23" ht="18.75" customHeight="1" x14ac:dyDescent="0.25">
      <c r="A6" s="453"/>
      <c r="B6" s="126" t="s">
        <v>233</v>
      </c>
      <c r="C6" s="127"/>
      <c r="D6" s="128" t="s">
        <v>234</v>
      </c>
      <c r="E6" s="129"/>
      <c r="F6" s="128" t="s">
        <v>234</v>
      </c>
      <c r="G6" s="129"/>
      <c r="H6" s="455" t="s">
        <v>234</v>
      </c>
      <c r="I6" s="456"/>
      <c r="J6" s="455" t="s">
        <v>234</v>
      </c>
      <c r="K6" s="456"/>
      <c r="L6" s="455" t="s">
        <v>234</v>
      </c>
      <c r="M6" s="456"/>
    </row>
    <row r="7" spans="1:23" ht="15.75" customHeight="1" x14ac:dyDescent="0.3">
      <c r="A7" s="454"/>
      <c r="B7" s="88" t="s">
        <v>235</v>
      </c>
      <c r="C7" s="130" t="s">
        <v>68</v>
      </c>
      <c r="D7" s="88" t="s">
        <v>235</v>
      </c>
      <c r="E7" s="89" t="s">
        <v>68</v>
      </c>
      <c r="F7" s="88" t="s">
        <v>235</v>
      </c>
      <c r="G7" s="130" t="s">
        <v>68</v>
      </c>
      <c r="H7" s="88" t="s">
        <v>235</v>
      </c>
      <c r="I7" s="89" t="s">
        <v>68</v>
      </c>
      <c r="J7" s="88" t="s">
        <v>235</v>
      </c>
      <c r="K7" s="89" t="s">
        <v>68</v>
      </c>
      <c r="L7" s="88" t="s">
        <v>235</v>
      </c>
      <c r="M7" s="89" t="s">
        <v>68</v>
      </c>
      <c r="N7" s="317"/>
      <c r="O7" s="317"/>
      <c r="P7" s="317"/>
      <c r="Q7" s="317"/>
      <c r="R7" s="317"/>
      <c r="S7" s="317"/>
      <c r="T7" s="317"/>
      <c r="U7" s="317"/>
      <c r="V7" s="317"/>
      <c r="W7" s="317"/>
    </row>
    <row r="8" spans="1:23" ht="15.6" x14ac:dyDescent="0.3">
      <c r="A8" s="90" t="s">
        <v>236</v>
      </c>
      <c r="B8" s="116">
        <v>0</v>
      </c>
      <c r="C8" s="117">
        <f>F2*0.3</f>
        <v>21</v>
      </c>
      <c r="D8" s="115">
        <v>0</v>
      </c>
      <c r="E8" s="117">
        <f>$F$2*(($D$2*(D5-2020))+0.3)</f>
        <v>23.449999999999996</v>
      </c>
      <c r="F8" s="131">
        <v>0</v>
      </c>
      <c r="G8" s="117">
        <f>$F$2*(($D$2*(F5-2020))+0.3)</f>
        <v>25.9</v>
      </c>
      <c r="H8" s="131">
        <v>0</v>
      </c>
      <c r="I8" s="117">
        <f>$F$2*(($D$2*(H5-2020))+0.3)</f>
        <v>28.35</v>
      </c>
      <c r="J8" s="131">
        <v>0</v>
      </c>
      <c r="K8" s="117">
        <f>$F$2*(($D$2*(J5-2020))+0.3)</f>
        <v>30.8</v>
      </c>
      <c r="L8" s="118">
        <v>0</v>
      </c>
      <c r="M8" s="117">
        <f>$F$2*(($D$2*(L5-2020))+0.3)</f>
        <v>33.25</v>
      </c>
    </row>
    <row r="9" spans="1:23" ht="15.6" x14ac:dyDescent="0.3">
      <c r="A9" s="93" t="s">
        <v>237</v>
      </c>
      <c r="B9" s="116">
        <v>0</v>
      </c>
      <c r="C9" s="117">
        <f>C8</f>
        <v>21</v>
      </c>
      <c r="D9" s="116">
        <v>0</v>
      </c>
      <c r="E9" s="117">
        <f>E8</f>
        <v>23.449999999999996</v>
      </c>
      <c r="F9" s="116">
        <v>0</v>
      </c>
      <c r="G9" s="117">
        <f>G8</f>
        <v>25.9</v>
      </c>
      <c r="H9" s="116">
        <v>0</v>
      </c>
      <c r="I9" s="117">
        <f>I8</f>
        <v>28.35</v>
      </c>
      <c r="J9" s="116">
        <v>0</v>
      </c>
      <c r="K9" s="117">
        <f>K8</f>
        <v>30.8</v>
      </c>
      <c r="L9" s="118">
        <v>0</v>
      </c>
      <c r="M9" s="117">
        <f>M8</f>
        <v>33.25</v>
      </c>
    </row>
    <row r="10" spans="1:23" x14ac:dyDescent="0.25">
      <c r="A10" s="92" t="s">
        <v>238</v>
      </c>
      <c r="B10" s="441">
        <f>B9+C9</f>
        <v>21</v>
      </c>
      <c r="C10" s="442"/>
      <c r="D10" s="441">
        <f t="shared" ref="D10" si="0">D9+E9</f>
        <v>23.449999999999996</v>
      </c>
      <c r="E10" s="442"/>
      <c r="F10" s="441">
        <f t="shared" ref="F10" si="1">F9+G9</f>
        <v>25.9</v>
      </c>
      <c r="G10" s="442"/>
      <c r="H10" s="441">
        <f t="shared" ref="H10" si="2">H9+I9</f>
        <v>28.35</v>
      </c>
      <c r="I10" s="442"/>
      <c r="J10" s="441">
        <f t="shared" ref="J10" si="3">J9+K9</f>
        <v>30.8</v>
      </c>
      <c r="K10" s="442"/>
      <c r="L10" s="441">
        <f t="shared" ref="L10" si="4">L9+M9</f>
        <v>33.25</v>
      </c>
      <c r="M10" s="442"/>
    </row>
    <row r="11" spans="1:23" x14ac:dyDescent="0.25">
      <c r="A11" s="92" t="s">
        <v>239</v>
      </c>
      <c r="B11" s="441">
        <f>'Presupuesto de Ingresos'!C4</f>
        <v>40125</v>
      </c>
      <c r="C11" s="442"/>
      <c r="D11" s="441">
        <f>'Presupuesto de Ingresos'!F4</f>
        <v>44137.5</v>
      </c>
      <c r="E11" s="442"/>
      <c r="F11" s="441">
        <f>'Presupuesto de Ingresos'!I4</f>
        <v>48150</v>
      </c>
      <c r="G11" s="442"/>
      <c r="H11" s="441">
        <f>'Presupuesto de Ingresos'!L4</f>
        <v>52162.5</v>
      </c>
      <c r="I11" s="442"/>
      <c r="J11" s="441">
        <f>'Presupuesto de Ingresos'!O4</f>
        <v>56175</v>
      </c>
      <c r="K11" s="442"/>
      <c r="L11" s="441">
        <f>'Presupuesto de Ingresos'!R4</f>
        <v>60588.75</v>
      </c>
      <c r="M11" s="442"/>
    </row>
    <row r="12" spans="1:23" x14ac:dyDescent="0.25">
      <c r="A12" s="94" t="s">
        <v>240</v>
      </c>
      <c r="B12" s="443">
        <f>B11*B10</f>
        <v>842625</v>
      </c>
      <c r="C12" s="444"/>
      <c r="D12" s="443">
        <f t="shared" ref="D12" si="5">D11*D10</f>
        <v>1035024.3749999998</v>
      </c>
      <c r="E12" s="444"/>
      <c r="F12" s="443">
        <f t="shared" ref="F12" si="6">F11*F10</f>
        <v>1247085</v>
      </c>
      <c r="G12" s="444"/>
      <c r="H12" s="443">
        <f t="shared" ref="H12" si="7">H11*H10</f>
        <v>1478806.875</v>
      </c>
      <c r="I12" s="444"/>
      <c r="J12" s="443">
        <f t="shared" ref="J12" si="8">J11*J10</f>
        <v>1730190</v>
      </c>
      <c r="K12" s="444"/>
      <c r="L12" s="443">
        <f t="shared" ref="L12" si="9">L11*L10</f>
        <v>2014575.9375</v>
      </c>
      <c r="M12" s="444"/>
    </row>
    <row r="13" spans="1:23" x14ac:dyDescent="0.25">
      <c r="B13" s="315"/>
      <c r="C13" s="316"/>
    </row>
    <row r="14" spans="1:23" x14ac:dyDescent="0.25">
      <c r="B14" s="314"/>
    </row>
    <row r="15" spans="1:23" x14ac:dyDescent="0.25">
      <c r="B15" s="314"/>
    </row>
    <row r="16" spans="1:23" x14ac:dyDescent="0.25">
      <c r="B16" s="314"/>
    </row>
    <row r="17" spans="1:49" ht="18" x14ac:dyDescent="0.35">
      <c r="A17" s="445" t="s">
        <v>241</v>
      </c>
      <c r="B17" s="445"/>
      <c r="C17" s="445"/>
      <c r="D17" s="445"/>
      <c r="E17" s="445"/>
      <c r="F17" s="445"/>
      <c r="G17" s="445"/>
      <c r="H17" s="445"/>
      <c r="I17" s="445"/>
    </row>
    <row r="18" spans="1:49" ht="18" x14ac:dyDescent="0.35">
      <c r="A18" s="268"/>
      <c r="B18" s="428">
        <v>2020</v>
      </c>
      <c r="C18" s="429"/>
      <c r="D18" s="429"/>
      <c r="E18" s="429"/>
      <c r="F18" s="429"/>
      <c r="G18" s="429"/>
      <c r="H18" s="429"/>
      <c r="I18" s="446"/>
      <c r="J18" s="428">
        <v>2021</v>
      </c>
      <c r="K18" s="429"/>
      <c r="L18" s="429"/>
      <c r="M18" s="429"/>
      <c r="N18" s="429"/>
      <c r="O18" s="429"/>
      <c r="P18" s="429"/>
      <c r="Q18" s="430"/>
      <c r="R18" s="428">
        <v>2022</v>
      </c>
      <c r="S18" s="429"/>
      <c r="T18" s="429"/>
      <c r="U18" s="429"/>
      <c r="V18" s="429"/>
      <c r="W18" s="429"/>
      <c r="X18" s="429"/>
      <c r="Y18" s="430"/>
      <c r="Z18" s="428">
        <v>2023</v>
      </c>
      <c r="AA18" s="429"/>
      <c r="AB18" s="429"/>
      <c r="AC18" s="429"/>
      <c r="AD18" s="429"/>
      <c r="AE18" s="429"/>
      <c r="AF18" s="429"/>
      <c r="AG18" s="430"/>
      <c r="AH18" s="428">
        <v>2024</v>
      </c>
      <c r="AI18" s="429"/>
      <c r="AJ18" s="429"/>
      <c r="AK18" s="429"/>
      <c r="AL18" s="429"/>
      <c r="AM18" s="429"/>
      <c r="AN18" s="429"/>
      <c r="AO18" s="430"/>
      <c r="AP18" s="428">
        <v>2025</v>
      </c>
      <c r="AQ18" s="429"/>
      <c r="AR18" s="429"/>
      <c r="AS18" s="429"/>
      <c r="AT18" s="429"/>
      <c r="AU18" s="429"/>
      <c r="AV18" s="429"/>
      <c r="AW18" s="430"/>
    </row>
    <row r="19" spans="1:49" ht="16.5" customHeight="1" x14ac:dyDescent="0.3">
      <c r="A19" s="457" t="s">
        <v>232</v>
      </c>
      <c r="B19" s="467" t="s">
        <v>242</v>
      </c>
      <c r="C19" s="468"/>
      <c r="D19" s="459" t="s">
        <v>243</v>
      </c>
      <c r="E19" s="460" t="s">
        <v>235</v>
      </c>
      <c r="F19" s="461" t="s">
        <v>244</v>
      </c>
      <c r="G19" s="462" t="s">
        <v>245</v>
      </c>
      <c r="H19" s="463" t="s">
        <v>246</v>
      </c>
      <c r="I19" s="465" t="s">
        <v>247</v>
      </c>
      <c r="J19" s="431" t="s">
        <v>242</v>
      </c>
      <c r="K19" s="432"/>
      <c r="L19" s="433" t="s">
        <v>243</v>
      </c>
      <c r="M19" s="434" t="s">
        <v>235</v>
      </c>
      <c r="N19" s="435" t="s">
        <v>244</v>
      </c>
      <c r="O19" s="436" t="s">
        <v>245</v>
      </c>
      <c r="P19" s="437" t="s">
        <v>246</v>
      </c>
      <c r="Q19" s="439" t="s">
        <v>247</v>
      </c>
      <c r="R19" s="431" t="s">
        <v>242</v>
      </c>
      <c r="S19" s="432"/>
      <c r="T19" s="433" t="s">
        <v>243</v>
      </c>
      <c r="U19" s="434" t="s">
        <v>235</v>
      </c>
      <c r="V19" s="435" t="s">
        <v>244</v>
      </c>
      <c r="W19" s="436" t="s">
        <v>245</v>
      </c>
      <c r="X19" s="437" t="s">
        <v>246</v>
      </c>
      <c r="Y19" s="439" t="s">
        <v>247</v>
      </c>
      <c r="Z19" s="431" t="s">
        <v>242</v>
      </c>
      <c r="AA19" s="432"/>
      <c r="AB19" s="433" t="s">
        <v>243</v>
      </c>
      <c r="AC19" s="434" t="s">
        <v>235</v>
      </c>
      <c r="AD19" s="435" t="s">
        <v>244</v>
      </c>
      <c r="AE19" s="436" t="s">
        <v>245</v>
      </c>
      <c r="AF19" s="437" t="s">
        <v>246</v>
      </c>
      <c r="AG19" s="439" t="s">
        <v>247</v>
      </c>
      <c r="AH19" s="431" t="s">
        <v>242</v>
      </c>
      <c r="AI19" s="432"/>
      <c r="AJ19" s="433" t="s">
        <v>243</v>
      </c>
      <c r="AK19" s="434" t="s">
        <v>235</v>
      </c>
      <c r="AL19" s="435" t="s">
        <v>244</v>
      </c>
      <c r="AM19" s="436" t="s">
        <v>245</v>
      </c>
      <c r="AN19" s="437" t="s">
        <v>246</v>
      </c>
      <c r="AO19" s="439" t="s">
        <v>247</v>
      </c>
      <c r="AP19" s="431" t="s">
        <v>242</v>
      </c>
      <c r="AQ19" s="432"/>
      <c r="AR19" s="433" t="s">
        <v>243</v>
      </c>
      <c r="AS19" s="434" t="s">
        <v>235</v>
      </c>
      <c r="AT19" s="435" t="s">
        <v>244</v>
      </c>
      <c r="AU19" s="436" t="s">
        <v>245</v>
      </c>
      <c r="AV19" s="437" t="s">
        <v>246</v>
      </c>
      <c r="AW19" s="439" t="s">
        <v>247</v>
      </c>
    </row>
    <row r="20" spans="1:49" ht="42" customHeight="1" x14ac:dyDescent="0.3">
      <c r="A20" s="458"/>
      <c r="B20" s="95" t="s">
        <v>248</v>
      </c>
      <c r="C20" s="96" t="s">
        <v>249</v>
      </c>
      <c r="D20" s="97" t="s">
        <v>248</v>
      </c>
      <c r="E20" s="96" t="s">
        <v>249</v>
      </c>
      <c r="F20" s="97" t="s">
        <v>248</v>
      </c>
      <c r="G20" s="97" t="s">
        <v>249</v>
      </c>
      <c r="H20" s="464"/>
      <c r="I20" s="466"/>
      <c r="J20" s="95" t="s">
        <v>248</v>
      </c>
      <c r="K20" s="96" t="s">
        <v>249</v>
      </c>
      <c r="L20" s="97" t="s">
        <v>248</v>
      </c>
      <c r="M20" s="96" t="s">
        <v>249</v>
      </c>
      <c r="N20" s="97" t="s">
        <v>248</v>
      </c>
      <c r="O20" s="97" t="s">
        <v>249</v>
      </c>
      <c r="P20" s="438"/>
      <c r="Q20" s="440"/>
      <c r="R20" s="95" t="s">
        <v>248</v>
      </c>
      <c r="S20" s="96" t="s">
        <v>249</v>
      </c>
      <c r="T20" s="97" t="s">
        <v>248</v>
      </c>
      <c r="U20" s="96" t="s">
        <v>249</v>
      </c>
      <c r="V20" s="97" t="s">
        <v>248</v>
      </c>
      <c r="W20" s="97" t="s">
        <v>249</v>
      </c>
      <c r="X20" s="438"/>
      <c r="Y20" s="440"/>
      <c r="Z20" s="95" t="s">
        <v>248</v>
      </c>
      <c r="AA20" s="96" t="s">
        <v>249</v>
      </c>
      <c r="AB20" s="97" t="s">
        <v>248</v>
      </c>
      <c r="AC20" s="96" t="s">
        <v>249</v>
      </c>
      <c r="AD20" s="97" t="s">
        <v>248</v>
      </c>
      <c r="AE20" s="97" t="s">
        <v>249</v>
      </c>
      <c r="AF20" s="438"/>
      <c r="AG20" s="440"/>
      <c r="AH20" s="95" t="s">
        <v>248</v>
      </c>
      <c r="AI20" s="96" t="s">
        <v>249</v>
      </c>
      <c r="AJ20" s="97" t="s">
        <v>248</v>
      </c>
      <c r="AK20" s="96" t="s">
        <v>249</v>
      </c>
      <c r="AL20" s="97" t="s">
        <v>248</v>
      </c>
      <c r="AM20" s="97" t="s">
        <v>249</v>
      </c>
      <c r="AN20" s="438"/>
      <c r="AO20" s="440"/>
      <c r="AP20" s="95" t="s">
        <v>248</v>
      </c>
      <c r="AQ20" s="96" t="s">
        <v>249</v>
      </c>
      <c r="AR20" s="97" t="s">
        <v>248</v>
      </c>
      <c r="AS20" s="96" t="s">
        <v>249</v>
      </c>
      <c r="AT20" s="97" t="s">
        <v>248</v>
      </c>
      <c r="AU20" s="97" t="s">
        <v>249</v>
      </c>
      <c r="AV20" s="438"/>
      <c r="AW20" s="440"/>
    </row>
    <row r="21" spans="1:49" ht="15.6" x14ac:dyDescent="0.3">
      <c r="A21" s="98" t="s">
        <v>250</v>
      </c>
      <c r="B21" s="144">
        <f t="shared" ref="B21:AW21" si="10">B22</f>
        <v>0</v>
      </c>
      <c r="C21" s="137">
        <f t="shared" si="10"/>
        <v>0</v>
      </c>
      <c r="D21" s="137">
        <f t="shared" si="10"/>
        <v>70218.75</v>
      </c>
      <c r="E21" s="137">
        <f t="shared" si="10"/>
        <v>842625</v>
      </c>
      <c r="F21" s="137">
        <f t="shared" si="10"/>
        <v>0</v>
      </c>
      <c r="G21" s="137">
        <f t="shared" si="10"/>
        <v>0</v>
      </c>
      <c r="H21" s="137">
        <f t="shared" si="10"/>
        <v>70218.75</v>
      </c>
      <c r="I21" s="137">
        <f t="shared" si="10"/>
        <v>842625</v>
      </c>
      <c r="J21" s="137">
        <f t="shared" si="10"/>
        <v>0</v>
      </c>
      <c r="K21" s="137">
        <f t="shared" si="10"/>
        <v>0</v>
      </c>
      <c r="L21" s="137">
        <f t="shared" si="10"/>
        <v>72676.40625</v>
      </c>
      <c r="M21" s="137">
        <f t="shared" si="10"/>
        <v>872116.87499999988</v>
      </c>
      <c r="N21" s="137">
        <f t="shared" si="10"/>
        <v>0</v>
      </c>
      <c r="O21" s="137">
        <f t="shared" si="10"/>
        <v>0</v>
      </c>
      <c r="P21" s="137">
        <f t="shared" si="10"/>
        <v>72676.40625</v>
      </c>
      <c r="Q21" s="137">
        <f t="shared" si="10"/>
        <v>872116.87499999988</v>
      </c>
      <c r="R21" s="137">
        <f t="shared" si="10"/>
        <v>0</v>
      </c>
      <c r="S21" s="137">
        <f t="shared" si="10"/>
        <v>0</v>
      </c>
      <c r="T21" s="137">
        <f t="shared" si="10"/>
        <v>75220.080468749991</v>
      </c>
      <c r="U21" s="137">
        <f t="shared" si="10"/>
        <v>902640.96562499984</v>
      </c>
      <c r="V21" s="137">
        <f t="shared" si="10"/>
        <v>0</v>
      </c>
      <c r="W21" s="137">
        <f t="shared" si="10"/>
        <v>0</v>
      </c>
      <c r="X21" s="137">
        <f t="shared" si="10"/>
        <v>75220.080468749991</v>
      </c>
      <c r="Y21" s="137">
        <f t="shared" si="10"/>
        <v>902640.96562499984</v>
      </c>
      <c r="Z21" s="137">
        <f t="shared" si="10"/>
        <v>0</v>
      </c>
      <c r="AA21" s="137">
        <f t="shared" si="10"/>
        <v>0</v>
      </c>
      <c r="AB21" s="137">
        <f t="shared" si="10"/>
        <v>77852.783285156242</v>
      </c>
      <c r="AC21" s="137">
        <f t="shared" si="10"/>
        <v>934233.39942187478</v>
      </c>
      <c r="AD21" s="137">
        <f t="shared" si="10"/>
        <v>0</v>
      </c>
      <c r="AE21" s="137">
        <f t="shared" si="10"/>
        <v>0</v>
      </c>
      <c r="AF21" s="137">
        <f t="shared" si="10"/>
        <v>77852.783285156242</v>
      </c>
      <c r="AG21" s="137">
        <f t="shared" si="10"/>
        <v>934233.39942187478</v>
      </c>
      <c r="AH21" s="137">
        <f t="shared" si="10"/>
        <v>0</v>
      </c>
      <c r="AI21" s="137">
        <f t="shared" si="10"/>
        <v>0</v>
      </c>
      <c r="AJ21" s="137">
        <f t="shared" si="10"/>
        <v>80577.630700136709</v>
      </c>
      <c r="AK21" s="137">
        <f t="shared" si="10"/>
        <v>966931.56840164028</v>
      </c>
      <c r="AL21" s="137">
        <f t="shared" si="10"/>
        <v>0</v>
      </c>
      <c r="AM21" s="137">
        <f t="shared" si="10"/>
        <v>0</v>
      </c>
      <c r="AN21" s="137">
        <f t="shared" si="10"/>
        <v>80577.630700136709</v>
      </c>
      <c r="AO21" s="137">
        <f t="shared" si="10"/>
        <v>966931.56840164028</v>
      </c>
      <c r="AP21" s="137">
        <f t="shared" si="10"/>
        <v>0</v>
      </c>
      <c r="AQ21" s="137">
        <f t="shared" si="10"/>
        <v>0</v>
      </c>
      <c r="AR21" s="137">
        <f t="shared" si="10"/>
        <v>83397.847774641486</v>
      </c>
      <c r="AS21" s="137">
        <f t="shared" si="10"/>
        <v>1000774.1732956977</v>
      </c>
      <c r="AT21" s="137">
        <f t="shared" si="10"/>
        <v>0</v>
      </c>
      <c r="AU21" s="137">
        <f t="shared" si="10"/>
        <v>0</v>
      </c>
      <c r="AV21" s="137">
        <f t="shared" si="10"/>
        <v>83397.847774641486</v>
      </c>
      <c r="AW21" s="145">
        <f t="shared" si="10"/>
        <v>1000774.1732956977</v>
      </c>
    </row>
    <row r="22" spans="1:49" ht="15.6" x14ac:dyDescent="0.3">
      <c r="A22" s="99" t="s">
        <v>209</v>
      </c>
      <c r="B22" s="146">
        <v>0</v>
      </c>
      <c r="C22" s="147">
        <v>0</v>
      </c>
      <c r="D22" s="136">
        <f>E22/12</f>
        <v>70218.75</v>
      </c>
      <c r="E22" s="136">
        <f>B12</f>
        <v>842625</v>
      </c>
      <c r="F22" s="136">
        <v>0</v>
      </c>
      <c r="G22" s="136"/>
      <c r="H22" s="138">
        <f>D22</f>
        <v>70218.75</v>
      </c>
      <c r="I22" s="138">
        <f>E22</f>
        <v>842625</v>
      </c>
      <c r="J22" s="141">
        <f t="shared" ref="J22:AW22" si="11">B22*(1+$D$2)</f>
        <v>0</v>
      </c>
      <c r="K22" s="141">
        <f t="shared" si="11"/>
        <v>0</v>
      </c>
      <c r="L22" s="136">
        <f t="shared" si="11"/>
        <v>72676.40625</v>
      </c>
      <c r="M22" s="136">
        <f t="shared" si="11"/>
        <v>872116.87499999988</v>
      </c>
      <c r="N22" s="136">
        <f t="shared" si="11"/>
        <v>0</v>
      </c>
      <c r="O22" s="136">
        <f t="shared" si="11"/>
        <v>0</v>
      </c>
      <c r="P22" s="136">
        <f t="shared" si="11"/>
        <v>72676.40625</v>
      </c>
      <c r="Q22" s="136">
        <f t="shared" si="11"/>
        <v>872116.87499999988</v>
      </c>
      <c r="R22" s="141">
        <f t="shared" si="11"/>
        <v>0</v>
      </c>
      <c r="S22" s="141">
        <f t="shared" si="11"/>
        <v>0</v>
      </c>
      <c r="T22" s="136">
        <f t="shared" si="11"/>
        <v>75220.080468749991</v>
      </c>
      <c r="U22" s="136">
        <f t="shared" si="11"/>
        <v>902640.96562499984</v>
      </c>
      <c r="V22" s="136">
        <f t="shared" si="11"/>
        <v>0</v>
      </c>
      <c r="W22" s="136">
        <f t="shared" si="11"/>
        <v>0</v>
      </c>
      <c r="X22" s="136">
        <f t="shared" si="11"/>
        <v>75220.080468749991</v>
      </c>
      <c r="Y22" s="136">
        <f t="shared" si="11"/>
        <v>902640.96562499984</v>
      </c>
      <c r="Z22" s="141">
        <f t="shared" si="11"/>
        <v>0</v>
      </c>
      <c r="AA22" s="141">
        <f t="shared" si="11"/>
        <v>0</v>
      </c>
      <c r="AB22" s="136">
        <f t="shared" si="11"/>
        <v>77852.783285156242</v>
      </c>
      <c r="AC22" s="136">
        <f t="shared" si="11"/>
        <v>934233.39942187478</v>
      </c>
      <c r="AD22" s="136">
        <f t="shared" si="11"/>
        <v>0</v>
      </c>
      <c r="AE22" s="136">
        <f t="shared" si="11"/>
        <v>0</v>
      </c>
      <c r="AF22" s="136">
        <f t="shared" si="11"/>
        <v>77852.783285156242</v>
      </c>
      <c r="AG22" s="136">
        <f t="shared" si="11"/>
        <v>934233.39942187478</v>
      </c>
      <c r="AH22" s="141">
        <f t="shared" si="11"/>
        <v>0</v>
      </c>
      <c r="AI22" s="141">
        <f t="shared" si="11"/>
        <v>0</v>
      </c>
      <c r="AJ22" s="136">
        <f t="shared" si="11"/>
        <v>80577.630700136709</v>
      </c>
      <c r="AK22" s="136">
        <f t="shared" si="11"/>
        <v>966931.56840164028</v>
      </c>
      <c r="AL22" s="136">
        <f t="shared" si="11"/>
        <v>0</v>
      </c>
      <c r="AM22" s="136">
        <f t="shared" si="11"/>
        <v>0</v>
      </c>
      <c r="AN22" s="136">
        <f t="shared" si="11"/>
        <v>80577.630700136709</v>
      </c>
      <c r="AO22" s="136">
        <f t="shared" si="11"/>
        <v>966931.56840164028</v>
      </c>
      <c r="AP22" s="141">
        <f t="shared" si="11"/>
        <v>0</v>
      </c>
      <c r="AQ22" s="141">
        <f t="shared" si="11"/>
        <v>0</v>
      </c>
      <c r="AR22" s="136">
        <f t="shared" si="11"/>
        <v>83397.847774641486</v>
      </c>
      <c r="AS22" s="136">
        <f t="shared" si="11"/>
        <v>1000774.1732956977</v>
      </c>
      <c r="AT22" s="136">
        <f t="shared" si="11"/>
        <v>0</v>
      </c>
      <c r="AU22" s="136">
        <f t="shared" si="11"/>
        <v>0</v>
      </c>
      <c r="AV22" s="136">
        <f t="shared" si="11"/>
        <v>83397.847774641486</v>
      </c>
      <c r="AW22" s="148">
        <f t="shared" si="11"/>
        <v>1000774.1732956977</v>
      </c>
    </row>
    <row r="23" spans="1:49" ht="15.6" x14ac:dyDescent="0.3">
      <c r="A23" s="100" t="s">
        <v>251</v>
      </c>
      <c r="B23" s="142">
        <f t="shared" ref="B23:AW23" si="12">SUM(B24:B31)</f>
        <v>41369.629629629628</v>
      </c>
      <c r="C23" s="139">
        <f t="shared" si="12"/>
        <v>496435.55555555556</v>
      </c>
      <c r="D23" s="139">
        <f t="shared" si="12"/>
        <v>25176.875</v>
      </c>
      <c r="E23" s="139">
        <f t="shared" si="12"/>
        <v>302122.5</v>
      </c>
      <c r="F23" s="139">
        <f t="shared" si="12"/>
        <v>75866.467592592599</v>
      </c>
      <c r="G23" s="139">
        <f t="shared" si="12"/>
        <v>910397.61111111112</v>
      </c>
      <c r="H23" s="139">
        <f t="shared" si="12"/>
        <v>142412.97222222222</v>
      </c>
      <c r="I23" s="140">
        <f t="shared" si="12"/>
        <v>1708955.6666666667</v>
      </c>
      <c r="J23" s="142">
        <f t="shared" si="12"/>
        <v>42817.566666666666</v>
      </c>
      <c r="K23" s="167">
        <f t="shared" si="12"/>
        <v>513810.8</v>
      </c>
      <c r="L23" s="167">
        <f t="shared" si="12"/>
        <v>26058.065624999999</v>
      </c>
      <c r="M23" s="167">
        <f t="shared" si="12"/>
        <v>317532</v>
      </c>
      <c r="N23" s="167">
        <f t="shared" si="12"/>
        <v>78521.793958333335</v>
      </c>
      <c r="O23" s="167">
        <f t="shared" si="12"/>
        <v>942261.52749999997</v>
      </c>
      <c r="P23" s="167">
        <f t="shared" si="12"/>
        <v>147397.42624999999</v>
      </c>
      <c r="Q23" s="167">
        <f t="shared" si="12"/>
        <v>1773604.3274999999</v>
      </c>
      <c r="R23" s="142">
        <f t="shared" si="12"/>
        <v>44316.181499999999</v>
      </c>
      <c r="S23" s="167">
        <f t="shared" si="12"/>
        <v>531794.17799999996</v>
      </c>
      <c r="T23" s="167">
        <f t="shared" si="12"/>
        <v>26970.097921875004</v>
      </c>
      <c r="U23" s="167">
        <f t="shared" si="12"/>
        <v>328226.62</v>
      </c>
      <c r="V23" s="167">
        <f t="shared" si="12"/>
        <v>81270.056746874994</v>
      </c>
      <c r="W23" s="167">
        <f t="shared" si="12"/>
        <v>975240.68096249981</v>
      </c>
      <c r="X23" s="167">
        <f t="shared" si="12"/>
        <v>152556.33616874999</v>
      </c>
      <c r="Y23" s="167">
        <f t="shared" si="12"/>
        <v>1835261.4789625001</v>
      </c>
      <c r="Z23" s="142">
        <f t="shared" si="12"/>
        <v>45867.247852499997</v>
      </c>
      <c r="AA23" s="171">
        <f t="shared" si="12"/>
        <v>550406.97422999993</v>
      </c>
      <c r="AB23" s="171">
        <f t="shared" si="12"/>
        <v>27914.051349140624</v>
      </c>
      <c r="AC23" s="171">
        <f t="shared" si="12"/>
        <v>339295.51669999992</v>
      </c>
      <c r="AD23" s="171">
        <f t="shared" si="12"/>
        <v>84114.508733015624</v>
      </c>
      <c r="AE23" s="171">
        <f t="shared" si="12"/>
        <v>1009374.1047961873</v>
      </c>
      <c r="AF23" s="171">
        <f t="shared" si="12"/>
        <v>157895.80793465622</v>
      </c>
      <c r="AG23" s="170">
        <f t="shared" si="12"/>
        <v>1899076.5957261869</v>
      </c>
      <c r="AH23" s="142">
        <f t="shared" si="12"/>
        <v>47472.601527337487</v>
      </c>
      <c r="AI23" s="139">
        <f t="shared" si="12"/>
        <v>569671.21832804987</v>
      </c>
      <c r="AJ23" s="139">
        <f t="shared" si="12"/>
        <v>28891.043146360538</v>
      </c>
      <c r="AK23" s="139">
        <f t="shared" si="12"/>
        <v>350750.78978449997</v>
      </c>
      <c r="AL23" s="139">
        <f t="shared" si="12"/>
        <v>87058.51653867116</v>
      </c>
      <c r="AM23" s="139">
        <f t="shared" si="12"/>
        <v>1044702.1984640538</v>
      </c>
      <c r="AN23" s="139">
        <f t="shared" si="12"/>
        <v>163422.16121236919</v>
      </c>
      <c r="AO23" s="143">
        <f t="shared" si="12"/>
        <v>1965124.2065766037</v>
      </c>
      <c r="AP23" s="142">
        <f t="shared" si="12"/>
        <v>49134.142580794301</v>
      </c>
      <c r="AQ23" s="139">
        <f t="shared" si="12"/>
        <v>589609.71096953168</v>
      </c>
      <c r="AR23" s="139">
        <f t="shared" si="12"/>
        <v>29902.229656483156</v>
      </c>
      <c r="AS23" s="139">
        <f t="shared" si="12"/>
        <v>362607.99742695742</v>
      </c>
      <c r="AT23" s="139">
        <f t="shared" si="12"/>
        <v>90105.564617524637</v>
      </c>
      <c r="AU23" s="139">
        <f t="shared" si="12"/>
        <v>1081266.7754102957</v>
      </c>
      <c r="AV23" s="139">
        <f t="shared" si="12"/>
        <v>169141.9368548021</v>
      </c>
      <c r="AW23" s="143">
        <f t="shared" si="12"/>
        <v>2033484.4838067847</v>
      </c>
    </row>
    <row r="24" spans="1:49" x14ac:dyDescent="0.25">
      <c r="A24" s="91" t="s">
        <v>252</v>
      </c>
      <c r="B24" s="149">
        <f>[1]Remuneraciones!G6+[1]Remuneraciones!G7+[1]Remuneraciones!G10+[1]Remuneraciones!G11+[1]Remuneraciones!G12+[1]Remuneraciones!G13</f>
        <v>39150</v>
      </c>
      <c r="C24" s="150">
        <f t="shared" ref="C24:C31" si="13">B24*12</f>
        <v>469800</v>
      </c>
      <c r="D24" s="150">
        <f>[1]Remuneraciones!G8+[1]Remuneraciones!G9+[1]Remuneraciones!G17+[1]Remuneraciones!G18</f>
        <v>21600</v>
      </c>
      <c r="E24" s="150">
        <f t="shared" ref="E24:E31" si="14">D24*12</f>
        <v>259200</v>
      </c>
      <c r="F24" s="150">
        <f>[1]Remuneraciones!G3+[1]Remuneraciones!G4+[1]Remuneraciones!G5+[1]Remuneraciones!G14+[1]Remuneraciones!G15+[1]Remuneraciones!G16</f>
        <v>40500</v>
      </c>
      <c r="G24" s="150">
        <f t="shared" ref="G24:G31" si="15">F24*12</f>
        <v>486000</v>
      </c>
      <c r="H24" s="151">
        <f t="shared" ref="H24:I31" si="16">B24+D24+F24</f>
        <v>101250</v>
      </c>
      <c r="I24" s="152">
        <f t="shared" si="16"/>
        <v>1215000</v>
      </c>
      <c r="J24" s="149">
        <f t="shared" ref="J24:J31" si="17">B24*(1+$D$2)</f>
        <v>40520.25</v>
      </c>
      <c r="K24" s="149">
        <f t="shared" ref="K24:K31" si="18">J24*12</f>
        <v>486243</v>
      </c>
      <c r="L24" s="150">
        <f t="shared" ref="L24:L31" si="19">D24*(1+$D$2)</f>
        <v>22356</v>
      </c>
      <c r="M24" s="150">
        <f t="shared" ref="M24:M30" si="20">L24*12</f>
        <v>268272</v>
      </c>
      <c r="N24" s="150">
        <f t="shared" ref="N24:N31" si="21">F24*(1+$D$2)</f>
        <v>41917.5</v>
      </c>
      <c r="O24" s="150">
        <f t="shared" ref="O24:O31" si="22">N24*12</f>
        <v>503010</v>
      </c>
      <c r="P24" s="150">
        <f t="shared" ref="P24:Q31" si="23">J24+L24+N24</f>
        <v>104793.75</v>
      </c>
      <c r="Q24" s="153">
        <f t="shared" si="23"/>
        <v>1257525</v>
      </c>
      <c r="R24" s="149">
        <f t="shared" ref="R24:R31" si="24">J24*(1+$D$2)</f>
        <v>41938.458749999998</v>
      </c>
      <c r="S24" s="149">
        <f t="shared" ref="S24:S31" si="25">R24*12</f>
        <v>503261.505</v>
      </c>
      <c r="T24" s="150">
        <f t="shared" ref="T24:T31" si="26">L24*(1+$D$2)</f>
        <v>23138.46</v>
      </c>
      <c r="U24" s="150">
        <f t="shared" ref="U24:U30" si="27">T24*12</f>
        <v>277661.52</v>
      </c>
      <c r="V24" s="150">
        <f t="shared" ref="V24:V31" si="28">N24*(1+$D$2)</f>
        <v>43384.612499999996</v>
      </c>
      <c r="W24" s="150">
        <f t="shared" ref="W24:W31" si="29">V24*12</f>
        <v>520615.35</v>
      </c>
      <c r="X24" s="150">
        <f t="shared" ref="X24:Y31" si="30">R24+T24+V24</f>
        <v>108461.53125</v>
      </c>
      <c r="Y24" s="153">
        <f t="shared" si="30"/>
        <v>1301538.375</v>
      </c>
      <c r="Z24" s="149">
        <f t="shared" ref="Z24:Z31" si="31">R24*(1+$D$2)</f>
        <v>43406.304806249995</v>
      </c>
      <c r="AA24" s="149">
        <f t="shared" ref="AA24:AA31" si="32">Z24*12</f>
        <v>520875.65767499991</v>
      </c>
      <c r="AB24" s="150">
        <f t="shared" ref="AB24:AB31" si="33">T24*(1+$D$2)</f>
        <v>23948.306099999998</v>
      </c>
      <c r="AC24" s="150">
        <f t="shared" ref="AC24:AC30" si="34">AB24*12</f>
        <v>287379.67319999996</v>
      </c>
      <c r="AD24" s="150">
        <f t="shared" ref="AD24:AD31" si="35">V24*(1+$D$2)</f>
        <v>44903.07393749999</v>
      </c>
      <c r="AE24" s="150">
        <f t="shared" ref="AE24:AE31" si="36">AD24*12</f>
        <v>538836.88724999991</v>
      </c>
      <c r="AF24" s="150">
        <f t="shared" ref="AF24:AG31" si="37">Z24+AB24+AD24</f>
        <v>112257.68484374997</v>
      </c>
      <c r="AG24" s="153">
        <f t="shared" si="37"/>
        <v>1347092.2181249997</v>
      </c>
      <c r="AH24" s="149">
        <f t="shared" ref="AH24:AH31" si="38">Z24*(1+$D$2)</f>
        <v>44925.525474468741</v>
      </c>
      <c r="AI24" s="149">
        <f t="shared" ref="AI24:AI31" si="39">AH24*12</f>
        <v>539106.30569362489</v>
      </c>
      <c r="AJ24" s="150">
        <f t="shared" ref="AJ24:AJ31" si="40">AB24*(1+$D$2)</f>
        <v>24786.496813499994</v>
      </c>
      <c r="AK24" s="150">
        <f t="shared" ref="AK24:AK30" si="41">AJ24*12</f>
        <v>297437.96176199993</v>
      </c>
      <c r="AL24" s="150">
        <f t="shared" ref="AL24:AL31" si="42">AD24*(1+$D$2)</f>
        <v>46474.681525312488</v>
      </c>
      <c r="AM24" s="150">
        <f t="shared" ref="AM24:AM31" si="43">AL24*12</f>
        <v>557696.17830374988</v>
      </c>
      <c r="AN24" s="150">
        <f t="shared" ref="AN24:AO31" si="44">AH24+AJ24+AL24</f>
        <v>116186.70381328123</v>
      </c>
      <c r="AO24" s="153">
        <f t="shared" si="44"/>
        <v>1394240.4457593746</v>
      </c>
      <c r="AP24" s="149">
        <f t="shared" ref="AP24:AP31" si="45">AH24*(1+$D$2)</f>
        <v>46497.918866075146</v>
      </c>
      <c r="AQ24" s="149">
        <f t="shared" ref="AQ24:AQ31" si="46">AP24*12</f>
        <v>557975.02639290178</v>
      </c>
      <c r="AR24" s="150">
        <f t="shared" ref="AR24:AR31" si="47">AJ24*(1+$D$2)</f>
        <v>25654.024201972494</v>
      </c>
      <c r="AS24" s="150">
        <f t="shared" ref="AS24:AS30" si="48">AR24*12</f>
        <v>307848.29042366991</v>
      </c>
      <c r="AT24" s="150">
        <f t="shared" ref="AT24:AT31" si="49">AL24*(1+$D$2)</f>
        <v>48101.295378698422</v>
      </c>
      <c r="AU24" s="150">
        <f t="shared" ref="AU24:AU31" si="50">AT24*12</f>
        <v>577215.54454438109</v>
      </c>
      <c r="AV24" s="150">
        <f t="shared" ref="AV24:AW31" si="51">AP24+AR24+AT24</f>
        <v>120253.23844674605</v>
      </c>
      <c r="AW24" s="153">
        <f t="shared" si="51"/>
        <v>1443038.8613609527</v>
      </c>
    </row>
    <row r="25" spans="1:49" x14ac:dyDescent="0.25">
      <c r="A25" s="91" t="s">
        <v>207</v>
      </c>
      <c r="B25" s="149"/>
      <c r="C25" s="150">
        <f t="shared" si="13"/>
        <v>0</v>
      </c>
      <c r="D25" s="150"/>
      <c r="E25" s="150">
        <f t="shared" si="14"/>
        <v>0</v>
      </c>
      <c r="F25" s="154">
        <f>'[1]Inversion Total'!C53</f>
        <v>30000</v>
      </c>
      <c r="G25" s="150">
        <f t="shared" si="15"/>
        <v>360000</v>
      </c>
      <c r="H25" s="151">
        <f t="shared" si="16"/>
        <v>30000</v>
      </c>
      <c r="I25" s="152">
        <f t="shared" si="16"/>
        <v>360000</v>
      </c>
      <c r="J25" s="149">
        <f t="shared" si="17"/>
        <v>0</v>
      </c>
      <c r="K25" s="165">
        <f t="shared" si="18"/>
        <v>0</v>
      </c>
      <c r="L25" s="150">
        <f t="shared" si="19"/>
        <v>0</v>
      </c>
      <c r="M25" s="150">
        <f t="shared" si="20"/>
        <v>0</v>
      </c>
      <c r="N25" s="150">
        <f t="shared" si="21"/>
        <v>31049.999999999996</v>
      </c>
      <c r="O25" s="150">
        <f t="shared" si="22"/>
        <v>372599.99999999994</v>
      </c>
      <c r="P25" s="150">
        <f t="shared" si="23"/>
        <v>31049.999999999996</v>
      </c>
      <c r="Q25" s="153">
        <f t="shared" si="23"/>
        <v>372599.99999999994</v>
      </c>
      <c r="R25" s="149">
        <f t="shared" si="24"/>
        <v>0</v>
      </c>
      <c r="S25" s="165">
        <f t="shared" si="25"/>
        <v>0</v>
      </c>
      <c r="T25" s="150">
        <f t="shared" si="26"/>
        <v>0</v>
      </c>
      <c r="U25" s="150">
        <f t="shared" si="27"/>
        <v>0</v>
      </c>
      <c r="V25" s="150">
        <f t="shared" si="28"/>
        <v>32136.749999999993</v>
      </c>
      <c r="W25" s="150">
        <f t="shared" si="29"/>
        <v>385640.99999999988</v>
      </c>
      <c r="X25" s="150">
        <f t="shared" si="30"/>
        <v>32136.749999999993</v>
      </c>
      <c r="Y25" s="153">
        <f t="shared" si="30"/>
        <v>385640.99999999988</v>
      </c>
      <c r="Z25" s="149">
        <f t="shared" si="31"/>
        <v>0</v>
      </c>
      <c r="AA25" s="162">
        <f t="shared" si="32"/>
        <v>0</v>
      </c>
      <c r="AB25" s="150">
        <f t="shared" si="33"/>
        <v>0</v>
      </c>
      <c r="AC25" s="150">
        <f t="shared" si="34"/>
        <v>0</v>
      </c>
      <c r="AD25" s="150">
        <f t="shared" si="35"/>
        <v>33261.53624999999</v>
      </c>
      <c r="AE25" s="150">
        <f t="shared" si="36"/>
        <v>399138.43499999988</v>
      </c>
      <c r="AF25" s="150">
        <f t="shared" si="37"/>
        <v>33261.53624999999</v>
      </c>
      <c r="AG25" s="153">
        <f t="shared" si="37"/>
        <v>399138.43499999988</v>
      </c>
      <c r="AH25" s="149">
        <f t="shared" si="38"/>
        <v>0</v>
      </c>
      <c r="AI25" s="150">
        <f t="shared" si="39"/>
        <v>0</v>
      </c>
      <c r="AJ25" s="150">
        <f t="shared" si="40"/>
        <v>0</v>
      </c>
      <c r="AK25" s="150">
        <f t="shared" si="41"/>
        <v>0</v>
      </c>
      <c r="AL25" s="150">
        <f t="shared" si="42"/>
        <v>34425.690018749985</v>
      </c>
      <c r="AM25" s="150">
        <f t="shared" si="43"/>
        <v>413108.28022499982</v>
      </c>
      <c r="AN25" s="150">
        <f t="shared" si="44"/>
        <v>34425.690018749985</v>
      </c>
      <c r="AO25" s="153">
        <f t="shared" si="44"/>
        <v>413108.28022499982</v>
      </c>
      <c r="AP25" s="149">
        <f t="shared" si="45"/>
        <v>0</v>
      </c>
      <c r="AQ25" s="150">
        <f t="shared" si="46"/>
        <v>0</v>
      </c>
      <c r="AR25" s="150">
        <f t="shared" si="47"/>
        <v>0</v>
      </c>
      <c r="AS25" s="150">
        <f t="shared" si="48"/>
        <v>0</v>
      </c>
      <c r="AT25" s="150">
        <f t="shared" si="49"/>
        <v>35630.58916940623</v>
      </c>
      <c r="AU25" s="150">
        <f t="shared" si="50"/>
        <v>427567.07003287476</v>
      </c>
      <c r="AV25" s="150">
        <f t="shared" si="51"/>
        <v>35630.58916940623</v>
      </c>
      <c r="AW25" s="153">
        <f t="shared" si="51"/>
        <v>427567.07003287476</v>
      </c>
    </row>
    <row r="26" spans="1:49" x14ac:dyDescent="0.25">
      <c r="A26" s="91" t="s">
        <v>253</v>
      </c>
      <c r="B26" s="149"/>
      <c r="C26" s="150">
        <f t="shared" si="13"/>
        <v>0</v>
      </c>
      <c r="D26" s="150"/>
      <c r="E26" s="150">
        <f t="shared" si="14"/>
        <v>0</v>
      </c>
      <c r="F26" s="150"/>
      <c r="G26" s="150">
        <f t="shared" si="15"/>
        <v>0</v>
      </c>
      <c r="H26" s="151">
        <f t="shared" si="16"/>
        <v>0</v>
      </c>
      <c r="I26" s="152">
        <f t="shared" si="16"/>
        <v>0</v>
      </c>
      <c r="J26" s="149">
        <f t="shared" si="17"/>
        <v>0</v>
      </c>
      <c r="K26" s="165">
        <f t="shared" si="18"/>
        <v>0</v>
      </c>
      <c r="L26" s="150">
        <f t="shared" si="19"/>
        <v>0</v>
      </c>
      <c r="M26" s="150">
        <f t="shared" si="20"/>
        <v>0</v>
      </c>
      <c r="N26" s="150">
        <f t="shared" si="21"/>
        <v>0</v>
      </c>
      <c r="O26" s="150">
        <f t="shared" si="22"/>
        <v>0</v>
      </c>
      <c r="P26" s="150">
        <f t="shared" si="23"/>
        <v>0</v>
      </c>
      <c r="Q26" s="153">
        <f t="shared" si="23"/>
        <v>0</v>
      </c>
      <c r="R26" s="149">
        <f t="shared" si="24"/>
        <v>0</v>
      </c>
      <c r="S26" s="165">
        <f t="shared" si="25"/>
        <v>0</v>
      </c>
      <c r="T26" s="150">
        <f t="shared" si="26"/>
        <v>0</v>
      </c>
      <c r="U26" s="150">
        <f t="shared" si="27"/>
        <v>0</v>
      </c>
      <c r="V26" s="150">
        <f t="shared" si="28"/>
        <v>0</v>
      </c>
      <c r="W26" s="150">
        <f t="shared" si="29"/>
        <v>0</v>
      </c>
      <c r="X26" s="150">
        <f t="shared" si="30"/>
        <v>0</v>
      </c>
      <c r="Y26" s="153">
        <f t="shared" si="30"/>
        <v>0</v>
      </c>
      <c r="Z26" s="149">
        <f t="shared" si="31"/>
        <v>0</v>
      </c>
      <c r="AA26" s="162">
        <f t="shared" si="32"/>
        <v>0</v>
      </c>
      <c r="AB26" s="150">
        <f t="shared" si="33"/>
        <v>0</v>
      </c>
      <c r="AC26" s="150">
        <f t="shared" si="34"/>
        <v>0</v>
      </c>
      <c r="AD26" s="150">
        <f t="shared" si="35"/>
        <v>0</v>
      </c>
      <c r="AE26" s="150">
        <f t="shared" si="36"/>
        <v>0</v>
      </c>
      <c r="AF26" s="150">
        <f t="shared" si="37"/>
        <v>0</v>
      </c>
      <c r="AG26" s="153">
        <f t="shared" si="37"/>
        <v>0</v>
      </c>
      <c r="AH26" s="149">
        <f t="shared" si="38"/>
        <v>0</v>
      </c>
      <c r="AI26" s="150">
        <f t="shared" si="39"/>
        <v>0</v>
      </c>
      <c r="AJ26" s="150">
        <f t="shared" si="40"/>
        <v>0</v>
      </c>
      <c r="AK26" s="150">
        <f t="shared" si="41"/>
        <v>0</v>
      </c>
      <c r="AL26" s="150">
        <f t="shared" si="42"/>
        <v>0</v>
      </c>
      <c r="AM26" s="150">
        <f t="shared" si="43"/>
        <v>0</v>
      </c>
      <c r="AN26" s="150">
        <f t="shared" si="44"/>
        <v>0</v>
      </c>
      <c r="AO26" s="153">
        <f t="shared" si="44"/>
        <v>0</v>
      </c>
      <c r="AP26" s="149">
        <f t="shared" si="45"/>
        <v>0</v>
      </c>
      <c r="AQ26" s="150">
        <f t="shared" si="46"/>
        <v>0</v>
      </c>
      <c r="AR26" s="150">
        <f t="shared" si="47"/>
        <v>0</v>
      </c>
      <c r="AS26" s="150">
        <f t="shared" si="48"/>
        <v>0</v>
      </c>
      <c r="AT26" s="150">
        <f t="shared" si="49"/>
        <v>0</v>
      </c>
      <c r="AU26" s="150">
        <f t="shared" si="50"/>
        <v>0</v>
      </c>
      <c r="AV26" s="150">
        <f t="shared" si="51"/>
        <v>0</v>
      </c>
      <c r="AW26" s="153">
        <f t="shared" si="51"/>
        <v>0</v>
      </c>
    </row>
    <row r="27" spans="1:49" x14ac:dyDescent="0.25">
      <c r="A27" s="91" t="s">
        <v>254</v>
      </c>
      <c r="B27" s="149"/>
      <c r="C27" s="150">
        <f t="shared" si="13"/>
        <v>0</v>
      </c>
      <c r="D27" s="154">
        <f>'[1]Inversion Total'!C57</f>
        <v>1500</v>
      </c>
      <c r="E27" s="150">
        <f t="shared" si="14"/>
        <v>18000</v>
      </c>
      <c r="F27" s="150"/>
      <c r="G27" s="150">
        <f t="shared" si="15"/>
        <v>0</v>
      </c>
      <c r="H27" s="151">
        <f t="shared" si="16"/>
        <v>1500</v>
      </c>
      <c r="I27" s="152">
        <f t="shared" si="16"/>
        <v>18000</v>
      </c>
      <c r="J27" s="149">
        <f t="shared" si="17"/>
        <v>0</v>
      </c>
      <c r="K27" s="165">
        <f t="shared" si="18"/>
        <v>0</v>
      </c>
      <c r="L27" s="150">
        <f t="shared" si="19"/>
        <v>1552.4999999999998</v>
      </c>
      <c r="M27" s="150">
        <f t="shared" si="20"/>
        <v>18629.999999999996</v>
      </c>
      <c r="N27" s="150">
        <f t="shared" si="21"/>
        <v>0</v>
      </c>
      <c r="O27" s="150">
        <f t="shared" si="22"/>
        <v>0</v>
      </c>
      <c r="P27" s="150">
        <f t="shared" si="23"/>
        <v>1552.4999999999998</v>
      </c>
      <c r="Q27" s="153">
        <f t="shared" si="23"/>
        <v>18629.999999999996</v>
      </c>
      <c r="R27" s="149">
        <f t="shared" si="24"/>
        <v>0</v>
      </c>
      <c r="S27" s="165">
        <f t="shared" si="25"/>
        <v>0</v>
      </c>
      <c r="T27" s="150">
        <f t="shared" si="26"/>
        <v>1606.8374999999996</v>
      </c>
      <c r="U27" s="150">
        <f t="shared" si="27"/>
        <v>19282.049999999996</v>
      </c>
      <c r="V27" s="150">
        <f t="shared" si="28"/>
        <v>0</v>
      </c>
      <c r="W27" s="150">
        <f t="shared" si="29"/>
        <v>0</v>
      </c>
      <c r="X27" s="150">
        <f t="shared" si="30"/>
        <v>1606.8374999999996</v>
      </c>
      <c r="Y27" s="153">
        <f t="shared" si="30"/>
        <v>19282.049999999996</v>
      </c>
      <c r="Z27" s="149">
        <f t="shared" si="31"/>
        <v>0</v>
      </c>
      <c r="AA27" s="162">
        <f t="shared" si="32"/>
        <v>0</v>
      </c>
      <c r="AB27" s="150">
        <f t="shared" si="33"/>
        <v>1663.0768124999995</v>
      </c>
      <c r="AC27" s="150">
        <f t="shared" si="34"/>
        <v>19956.921749999994</v>
      </c>
      <c r="AD27" s="150">
        <f t="shared" si="35"/>
        <v>0</v>
      </c>
      <c r="AE27" s="150">
        <f t="shared" si="36"/>
        <v>0</v>
      </c>
      <c r="AF27" s="150">
        <f t="shared" si="37"/>
        <v>1663.0768124999995</v>
      </c>
      <c r="AG27" s="153">
        <f t="shared" si="37"/>
        <v>19956.921749999994</v>
      </c>
      <c r="AH27" s="149">
        <f t="shared" si="38"/>
        <v>0</v>
      </c>
      <c r="AI27" s="150">
        <f t="shared" si="39"/>
        <v>0</v>
      </c>
      <c r="AJ27" s="150">
        <f t="shared" si="40"/>
        <v>1721.2845009374994</v>
      </c>
      <c r="AK27" s="150">
        <f t="shared" si="41"/>
        <v>20655.414011249992</v>
      </c>
      <c r="AL27" s="150">
        <f t="shared" si="42"/>
        <v>0</v>
      </c>
      <c r="AM27" s="150">
        <f t="shared" si="43"/>
        <v>0</v>
      </c>
      <c r="AN27" s="150">
        <f t="shared" si="44"/>
        <v>1721.2845009374994</v>
      </c>
      <c r="AO27" s="153">
        <f t="shared" si="44"/>
        <v>20655.414011249992</v>
      </c>
      <c r="AP27" s="149">
        <f t="shared" si="45"/>
        <v>0</v>
      </c>
      <c r="AQ27" s="150">
        <f t="shared" si="46"/>
        <v>0</v>
      </c>
      <c r="AR27" s="150">
        <f t="shared" si="47"/>
        <v>1781.5294584703117</v>
      </c>
      <c r="AS27" s="150">
        <f t="shared" si="48"/>
        <v>21378.353501643742</v>
      </c>
      <c r="AT27" s="150">
        <f t="shared" si="49"/>
        <v>0</v>
      </c>
      <c r="AU27" s="150">
        <f t="shared" si="50"/>
        <v>0</v>
      </c>
      <c r="AV27" s="150">
        <f t="shared" si="51"/>
        <v>1781.5294584703117</v>
      </c>
      <c r="AW27" s="153">
        <f t="shared" si="51"/>
        <v>21378.353501643742</v>
      </c>
    </row>
    <row r="28" spans="1:49" x14ac:dyDescent="0.25">
      <c r="A28" s="91" t="s">
        <v>150</v>
      </c>
      <c r="B28" s="149"/>
      <c r="C28" s="150">
        <f t="shared" si="13"/>
        <v>0</v>
      </c>
      <c r="D28" s="154">
        <f>'[1]Inversion Total'!C54</f>
        <v>1500</v>
      </c>
      <c r="E28" s="150">
        <f t="shared" si="14"/>
        <v>18000</v>
      </c>
      <c r="F28" s="150"/>
      <c r="G28" s="150">
        <f t="shared" si="15"/>
        <v>0</v>
      </c>
      <c r="H28" s="151">
        <f t="shared" si="16"/>
        <v>1500</v>
      </c>
      <c r="I28" s="152">
        <f t="shared" si="16"/>
        <v>18000</v>
      </c>
      <c r="J28" s="149">
        <f t="shared" si="17"/>
        <v>0</v>
      </c>
      <c r="K28" s="165">
        <f t="shared" si="18"/>
        <v>0</v>
      </c>
      <c r="L28" s="150">
        <f t="shared" si="19"/>
        <v>1552.4999999999998</v>
      </c>
      <c r="M28" s="150">
        <f t="shared" si="20"/>
        <v>18629.999999999996</v>
      </c>
      <c r="N28" s="150">
        <f t="shared" si="21"/>
        <v>0</v>
      </c>
      <c r="O28" s="150">
        <f t="shared" si="22"/>
        <v>0</v>
      </c>
      <c r="P28" s="150">
        <f t="shared" si="23"/>
        <v>1552.4999999999998</v>
      </c>
      <c r="Q28" s="153">
        <f t="shared" si="23"/>
        <v>18629.999999999996</v>
      </c>
      <c r="R28" s="149">
        <f t="shared" si="24"/>
        <v>0</v>
      </c>
      <c r="S28" s="165">
        <f t="shared" si="25"/>
        <v>0</v>
      </c>
      <c r="T28" s="150">
        <f t="shared" si="26"/>
        <v>1606.8374999999996</v>
      </c>
      <c r="U28" s="150">
        <f t="shared" si="27"/>
        <v>19282.049999999996</v>
      </c>
      <c r="V28" s="150">
        <f t="shared" si="28"/>
        <v>0</v>
      </c>
      <c r="W28" s="150">
        <f t="shared" si="29"/>
        <v>0</v>
      </c>
      <c r="X28" s="150">
        <f t="shared" si="30"/>
        <v>1606.8374999999996</v>
      </c>
      <c r="Y28" s="153">
        <f t="shared" si="30"/>
        <v>19282.049999999996</v>
      </c>
      <c r="Z28" s="149">
        <f t="shared" si="31"/>
        <v>0</v>
      </c>
      <c r="AA28" s="162">
        <f t="shared" si="32"/>
        <v>0</v>
      </c>
      <c r="AB28" s="150">
        <f t="shared" si="33"/>
        <v>1663.0768124999995</v>
      </c>
      <c r="AC28" s="150">
        <f t="shared" si="34"/>
        <v>19956.921749999994</v>
      </c>
      <c r="AD28" s="150">
        <f t="shared" si="35"/>
        <v>0</v>
      </c>
      <c r="AE28" s="150">
        <f t="shared" si="36"/>
        <v>0</v>
      </c>
      <c r="AF28" s="150">
        <f t="shared" si="37"/>
        <v>1663.0768124999995</v>
      </c>
      <c r="AG28" s="153">
        <f t="shared" si="37"/>
        <v>19956.921749999994</v>
      </c>
      <c r="AH28" s="149">
        <f t="shared" si="38"/>
        <v>0</v>
      </c>
      <c r="AI28" s="150">
        <f t="shared" si="39"/>
        <v>0</v>
      </c>
      <c r="AJ28" s="150">
        <f t="shared" si="40"/>
        <v>1721.2845009374994</v>
      </c>
      <c r="AK28" s="150">
        <f t="shared" si="41"/>
        <v>20655.414011249992</v>
      </c>
      <c r="AL28" s="150">
        <f t="shared" si="42"/>
        <v>0</v>
      </c>
      <c r="AM28" s="150">
        <f t="shared" si="43"/>
        <v>0</v>
      </c>
      <c r="AN28" s="150">
        <f t="shared" si="44"/>
        <v>1721.2845009374994</v>
      </c>
      <c r="AO28" s="153">
        <f t="shared" si="44"/>
        <v>20655.414011249992</v>
      </c>
      <c r="AP28" s="149">
        <f t="shared" si="45"/>
        <v>0</v>
      </c>
      <c r="AQ28" s="150">
        <f t="shared" si="46"/>
        <v>0</v>
      </c>
      <c r="AR28" s="150">
        <f t="shared" si="47"/>
        <v>1781.5294584703117</v>
      </c>
      <c r="AS28" s="150">
        <f t="shared" si="48"/>
        <v>21378.353501643742</v>
      </c>
      <c r="AT28" s="150">
        <f t="shared" si="49"/>
        <v>0</v>
      </c>
      <c r="AU28" s="150">
        <f t="shared" si="50"/>
        <v>0</v>
      </c>
      <c r="AV28" s="150">
        <f t="shared" si="51"/>
        <v>1781.5294584703117</v>
      </c>
      <c r="AW28" s="153">
        <f t="shared" si="51"/>
        <v>21378.353501643742</v>
      </c>
    </row>
    <row r="29" spans="1:49" x14ac:dyDescent="0.25">
      <c r="A29" s="91" t="s">
        <v>127</v>
      </c>
      <c r="B29" s="149"/>
      <c r="C29" s="150">
        <f t="shared" si="13"/>
        <v>0</v>
      </c>
      <c r="D29" s="150"/>
      <c r="E29" s="150">
        <f t="shared" si="14"/>
        <v>0</v>
      </c>
      <c r="F29" s="155">
        <v>3000</v>
      </c>
      <c r="G29" s="150">
        <f t="shared" si="15"/>
        <v>36000</v>
      </c>
      <c r="H29" s="151">
        <f t="shared" si="16"/>
        <v>3000</v>
      </c>
      <c r="I29" s="152">
        <f t="shared" si="16"/>
        <v>36000</v>
      </c>
      <c r="J29" s="149">
        <f t="shared" si="17"/>
        <v>0</v>
      </c>
      <c r="K29" s="165">
        <f t="shared" si="18"/>
        <v>0</v>
      </c>
      <c r="L29" s="150">
        <f t="shared" si="19"/>
        <v>0</v>
      </c>
      <c r="M29" s="150">
        <f t="shared" si="20"/>
        <v>0</v>
      </c>
      <c r="N29" s="150">
        <f t="shared" si="21"/>
        <v>3104.9999999999995</v>
      </c>
      <c r="O29" s="150">
        <f t="shared" si="22"/>
        <v>37259.999999999993</v>
      </c>
      <c r="P29" s="150">
        <f t="shared" si="23"/>
        <v>3104.9999999999995</v>
      </c>
      <c r="Q29" s="153">
        <f t="shared" si="23"/>
        <v>37259.999999999993</v>
      </c>
      <c r="R29" s="149">
        <f t="shared" si="24"/>
        <v>0</v>
      </c>
      <c r="S29" s="165">
        <f t="shared" si="25"/>
        <v>0</v>
      </c>
      <c r="T29" s="150">
        <f t="shared" si="26"/>
        <v>0</v>
      </c>
      <c r="U29" s="150">
        <f t="shared" si="27"/>
        <v>0</v>
      </c>
      <c r="V29" s="150">
        <f t="shared" si="28"/>
        <v>3213.6749999999993</v>
      </c>
      <c r="W29" s="150">
        <f t="shared" si="29"/>
        <v>38564.099999999991</v>
      </c>
      <c r="X29" s="150">
        <f t="shared" si="30"/>
        <v>3213.6749999999993</v>
      </c>
      <c r="Y29" s="153">
        <f t="shared" si="30"/>
        <v>38564.099999999991</v>
      </c>
      <c r="Z29" s="149">
        <f t="shared" si="31"/>
        <v>0</v>
      </c>
      <c r="AA29" s="162">
        <f t="shared" si="32"/>
        <v>0</v>
      </c>
      <c r="AB29" s="150">
        <f t="shared" si="33"/>
        <v>0</v>
      </c>
      <c r="AC29" s="150">
        <f t="shared" si="34"/>
        <v>0</v>
      </c>
      <c r="AD29" s="150">
        <f t="shared" si="35"/>
        <v>3326.153624999999</v>
      </c>
      <c r="AE29" s="150">
        <f t="shared" si="36"/>
        <v>39913.843499999988</v>
      </c>
      <c r="AF29" s="150">
        <f t="shared" si="37"/>
        <v>3326.153624999999</v>
      </c>
      <c r="AG29" s="153">
        <f t="shared" si="37"/>
        <v>39913.843499999988</v>
      </c>
      <c r="AH29" s="149">
        <f t="shared" si="38"/>
        <v>0</v>
      </c>
      <c r="AI29" s="150">
        <f t="shared" si="39"/>
        <v>0</v>
      </c>
      <c r="AJ29" s="150">
        <f t="shared" si="40"/>
        <v>0</v>
      </c>
      <c r="AK29" s="150">
        <f t="shared" si="41"/>
        <v>0</v>
      </c>
      <c r="AL29" s="150">
        <f t="shared" si="42"/>
        <v>3442.5690018749988</v>
      </c>
      <c r="AM29" s="150">
        <f t="shared" si="43"/>
        <v>41310.828022499983</v>
      </c>
      <c r="AN29" s="150">
        <f t="shared" si="44"/>
        <v>3442.5690018749988</v>
      </c>
      <c r="AO29" s="153">
        <f t="shared" si="44"/>
        <v>41310.828022499983</v>
      </c>
      <c r="AP29" s="149">
        <f t="shared" si="45"/>
        <v>0</v>
      </c>
      <c r="AQ29" s="150">
        <f t="shared" si="46"/>
        <v>0</v>
      </c>
      <c r="AR29" s="150">
        <f t="shared" si="47"/>
        <v>0</v>
      </c>
      <c r="AS29" s="150">
        <f t="shared" si="48"/>
        <v>0</v>
      </c>
      <c r="AT29" s="150">
        <f t="shared" si="49"/>
        <v>3563.0589169406235</v>
      </c>
      <c r="AU29" s="150">
        <f t="shared" si="50"/>
        <v>42756.707003287484</v>
      </c>
      <c r="AV29" s="150">
        <f t="shared" si="51"/>
        <v>3563.0589169406235</v>
      </c>
      <c r="AW29" s="153">
        <f t="shared" si="51"/>
        <v>42756.707003287484</v>
      </c>
    </row>
    <row r="30" spans="1:49" x14ac:dyDescent="0.25">
      <c r="A30" s="91" t="s">
        <v>255</v>
      </c>
      <c r="B30" s="149"/>
      <c r="C30" s="150">
        <f t="shared" si="13"/>
        <v>0</v>
      </c>
      <c r="D30" s="150"/>
      <c r="E30" s="150">
        <f t="shared" si="14"/>
        <v>0</v>
      </c>
      <c r="F30" s="154">
        <v>1000</v>
      </c>
      <c r="G30" s="150">
        <f t="shared" si="15"/>
        <v>12000</v>
      </c>
      <c r="H30" s="151">
        <f t="shared" si="16"/>
        <v>1000</v>
      </c>
      <c r="I30" s="152">
        <f t="shared" si="16"/>
        <v>12000</v>
      </c>
      <c r="J30" s="149">
        <f t="shared" si="17"/>
        <v>0</v>
      </c>
      <c r="K30" s="165">
        <f t="shared" si="18"/>
        <v>0</v>
      </c>
      <c r="L30" s="150">
        <f t="shared" si="19"/>
        <v>0</v>
      </c>
      <c r="M30" s="150">
        <f t="shared" si="20"/>
        <v>0</v>
      </c>
      <c r="N30" s="150">
        <f t="shared" si="21"/>
        <v>1035</v>
      </c>
      <c r="O30" s="150">
        <f t="shared" si="22"/>
        <v>12420</v>
      </c>
      <c r="P30" s="150">
        <f t="shared" si="23"/>
        <v>1035</v>
      </c>
      <c r="Q30" s="153">
        <f t="shared" si="23"/>
        <v>12420</v>
      </c>
      <c r="R30" s="149">
        <f t="shared" si="24"/>
        <v>0</v>
      </c>
      <c r="S30" s="165">
        <f t="shared" si="25"/>
        <v>0</v>
      </c>
      <c r="T30" s="150">
        <f t="shared" si="26"/>
        <v>0</v>
      </c>
      <c r="U30" s="150">
        <f t="shared" si="27"/>
        <v>0</v>
      </c>
      <c r="V30" s="150">
        <f t="shared" si="28"/>
        <v>1071.2249999999999</v>
      </c>
      <c r="W30" s="150">
        <f t="shared" si="29"/>
        <v>12854.699999999999</v>
      </c>
      <c r="X30" s="150">
        <f t="shared" si="30"/>
        <v>1071.2249999999999</v>
      </c>
      <c r="Y30" s="153">
        <f t="shared" si="30"/>
        <v>12854.699999999999</v>
      </c>
      <c r="Z30" s="149">
        <f t="shared" si="31"/>
        <v>0</v>
      </c>
      <c r="AA30" s="162">
        <f t="shared" si="32"/>
        <v>0</v>
      </c>
      <c r="AB30" s="150">
        <f t="shared" si="33"/>
        <v>0</v>
      </c>
      <c r="AC30" s="150">
        <f t="shared" si="34"/>
        <v>0</v>
      </c>
      <c r="AD30" s="150">
        <f t="shared" si="35"/>
        <v>1108.7178749999998</v>
      </c>
      <c r="AE30" s="150">
        <f t="shared" si="36"/>
        <v>13304.614499999998</v>
      </c>
      <c r="AF30" s="150">
        <f t="shared" si="37"/>
        <v>1108.7178749999998</v>
      </c>
      <c r="AG30" s="153">
        <f t="shared" si="37"/>
        <v>13304.614499999998</v>
      </c>
      <c r="AH30" s="149">
        <f t="shared" si="38"/>
        <v>0</v>
      </c>
      <c r="AI30" s="150">
        <f t="shared" si="39"/>
        <v>0</v>
      </c>
      <c r="AJ30" s="150">
        <f t="shared" si="40"/>
        <v>0</v>
      </c>
      <c r="AK30" s="150">
        <f t="shared" si="41"/>
        <v>0</v>
      </c>
      <c r="AL30" s="150">
        <f t="shared" si="42"/>
        <v>1147.5230006249997</v>
      </c>
      <c r="AM30" s="150">
        <f t="shared" si="43"/>
        <v>13770.276007499997</v>
      </c>
      <c r="AN30" s="150">
        <f t="shared" si="44"/>
        <v>1147.5230006249997</v>
      </c>
      <c r="AO30" s="153">
        <f t="shared" si="44"/>
        <v>13770.276007499997</v>
      </c>
      <c r="AP30" s="149">
        <f t="shared" si="45"/>
        <v>0</v>
      </c>
      <c r="AQ30" s="150">
        <f t="shared" si="46"/>
        <v>0</v>
      </c>
      <c r="AR30" s="150">
        <f t="shared" si="47"/>
        <v>0</v>
      </c>
      <c r="AS30" s="150">
        <f t="shared" si="48"/>
        <v>0</v>
      </c>
      <c r="AT30" s="150">
        <f t="shared" si="49"/>
        <v>1187.6863056468746</v>
      </c>
      <c r="AU30" s="150">
        <f t="shared" si="50"/>
        <v>14252.235667762496</v>
      </c>
      <c r="AV30" s="150">
        <f t="shared" si="51"/>
        <v>1187.6863056468746</v>
      </c>
      <c r="AW30" s="153">
        <f t="shared" si="51"/>
        <v>14252.235667762496</v>
      </c>
    </row>
    <row r="31" spans="1:49" x14ac:dyDescent="0.25">
      <c r="A31" s="91" t="s">
        <v>256</v>
      </c>
      <c r="B31" s="156">
        <f>[1]Depreciación!J14</f>
        <v>2219.6296296296296</v>
      </c>
      <c r="C31" s="162">
        <f t="shared" si="13"/>
        <v>26635.555555555555</v>
      </c>
      <c r="D31" s="157">
        <f>[1]Depreciación!J24</f>
        <v>576.875</v>
      </c>
      <c r="E31" s="162">
        <f t="shared" si="14"/>
        <v>6922.5</v>
      </c>
      <c r="F31" s="157">
        <f>[1]Depreciación!J34</f>
        <v>1366.4675925925924</v>
      </c>
      <c r="G31" s="162">
        <f t="shared" si="15"/>
        <v>16397.611111111109</v>
      </c>
      <c r="H31" s="163">
        <f t="shared" si="16"/>
        <v>4162.9722222222217</v>
      </c>
      <c r="I31" s="164">
        <f t="shared" si="16"/>
        <v>49955.666666666664</v>
      </c>
      <c r="J31" s="165">
        <f t="shared" si="17"/>
        <v>2297.3166666666666</v>
      </c>
      <c r="K31" s="165">
        <f t="shared" si="18"/>
        <v>27567.8</v>
      </c>
      <c r="L31" s="162">
        <f t="shared" si="19"/>
        <v>597.06562499999995</v>
      </c>
      <c r="M31" s="162">
        <v>12000</v>
      </c>
      <c r="N31" s="162">
        <f t="shared" si="21"/>
        <v>1414.293958333333</v>
      </c>
      <c r="O31" s="162">
        <f t="shared" si="22"/>
        <v>16971.527499999997</v>
      </c>
      <c r="P31" s="162">
        <f t="shared" si="23"/>
        <v>4308.6762499999995</v>
      </c>
      <c r="Q31" s="166">
        <f t="shared" si="23"/>
        <v>56539.327499999999</v>
      </c>
      <c r="R31" s="165">
        <f t="shared" si="24"/>
        <v>2377.7227499999999</v>
      </c>
      <c r="S31" s="165">
        <f t="shared" si="25"/>
        <v>28532.672999999999</v>
      </c>
      <c r="T31" s="162">
        <f t="shared" si="26"/>
        <v>617.96292187499989</v>
      </c>
      <c r="U31" s="162">
        <v>12001</v>
      </c>
      <c r="V31" s="162">
        <f t="shared" si="28"/>
        <v>1463.7942468749995</v>
      </c>
      <c r="W31" s="162">
        <f t="shared" si="29"/>
        <v>17565.530962499994</v>
      </c>
      <c r="X31" s="162">
        <f t="shared" si="30"/>
        <v>4459.4799187499993</v>
      </c>
      <c r="Y31" s="166">
        <f t="shared" si="30"/>
        <v>58099.203962499989</v>
      </c>
      <c r="Z31" s="169">
        <f t="shared" si="31"/>
        <v>2460.9430462499995</v>
      </c>
      <c r="AA31" s="168">
        <f t="shared" si="32"/>
        <v>29531.316554999994</v>
      </c>
      <c r="AB31" s="168">
        <f t="shared" si="33"/>
        <v>639.59162414062484</v>
      </c>
      <c r="AC31" s="168">
        <v>12002</v>
      </c>
      <c r="AD31" s="168">
        <f t="shared" si="35"/>
        <v>1515.0270455156244</v>
      </c>
      <c r="AE31" s="168">
        <f t="shared" si="36"/>
        <v>18180.324546187494</v>
      </c>
      <c r="AF31" s="168">
        <f t="shared" si="37"/>
        <v>4615.5617159062485</v>
      </c>
      <c r="AG31" s="153">
        <f t="shared" si="37"/>
        <v>59713.641101187488</v>
      </c>
      <c r="AH31" s="156">
        <f t="shared" si="38"/>
        <v>2547.0760528687492</v>
      </c>
      <c r="AI31" s="157">
        <f t="shared" si="39"/>
        <v>30564.912634424989</v>
      </c>
      <c r="AJ31" s="157">
        <f t="shared" si="40"/>
        <v>661.9773309855467</v>
      </c>
      <c r="AK31" s="157">
        <v>12002</v>
      </c>
      <c r="AL31" s="157">
        <f t="shared" si="42"/>
        <v>1568.0529921086711</v>
      </c>
      <c r="AM31" s="157">
        <f t="shared" si="43"/>
        <v>18816.635905304054</v>
      </c>
      <c r="AN31" s="157">
        <f t="shared" si="44"/>
        <v>4777.1063759629669</v>
      </c>
      <c r="AO31" s="158">
        <f t="shared" si="44"/>
        <v>61383.548539729047</v>
      </c>
      <c r="AP31" s="156">
        <f t="shared" si="45"/>
        <v>2636.2237147191554</v>
      </c>
      <c r="AQ31" s="157">
        <f t="shared" si="46"/>
        <v>31634.684576629865</v>
      </c>
      <c r="AR31" s="157">
        <f t="shared" si="47"/>
        <v>685.14653757004078</v>
      </c>
      <c r="AS31" s="157">
        <v>12003</v>
      </c>
      <c r="AT31" s="157">
        <f t="shared" si="49"/>
        <v>1622.9348468324745</v>
      </c>
      <c r="AU31" s="157">
        <f t="shared" si="50"/>
        <v>19475.218161989695</v>
      </c>
      <c r="AV31" s="157">
        <f t="shared" si="51"/>
        <v>4944.3050991216705</v>
      </c>
      <c r="AW31" s="158">
        <f t="shared" si="51"/>
        <v>63112.902738619559</v>
      </c>
    </row>
    <row r="32" spans="1:49" ht="18" x14ac:dyDescent="0.35">
      <c r="A32" s="101" t="s">
        <v>257</v>
      </c>
      <c r="B32" s="102">
        <f t="shared" ref="B32:AW32" si="52">B23+B21</f>
        <v>41369.629629629628</v>
      </c>
      <c r="C32" s="103">
        <f t="shared" si="52"/>
        <v>496435.55555555556</v>
      </c>
      <c r="D32" s="103">
        <f t="shared" si="52"/>
        <v>95395.625</v>
      </c>
      <c r="E32" s="103">
        <f t="shared" si="52"/>
        <v>1144747.5</v>
      </c>
      <c r="F32" s="103">
        <f t="shared" si="52"/>
        <v>75866.467592592599</v>
      </c>
      <c r="G32" s="103">
        <f t="shared" si="52"/>
        <v>910397.61111111112</v>
      </c>
      <c r="H32" s="104">
        <f t="shared" si="52"/>
        <v>212631.72222222222</v>
      </c>
      <c r="I32" s="105">
        <f>I23+I21</f>
        <v>2551580.666666667</v>
      </c>
      <c r="J32" s="102">
        <f t="shared" si="52"/>
        <v>42817.566666666666</v>
      </c>
      <c r="K32" s="102">
        <f t="shared" si="52"/>
        <v>513810.8</v>
      </c>
      <c r="L32" s="102">
        <f t="shared" si="52"/>
        <v>98734.471875000003</v>
      </c>
      <c r="M32" s="102">
        <f t="shared" si="52"/>
        <v>1189648.875</v>
      </c>
      <c r="N32" s="102">
        <f t="shared" si="52"/>
        <v>78521.793958333335</v>
      </c>
      <c r="O32" s="102">
        <f t="shared" si="52"/>
        <v>942261.52749999997</v>
      </c>
      <c r="P32" s="102">
        <f t="shared" si="52"/>
        <v>220073.83249999999</v>
      </c>
      <c r="Q32" s="102">
        <f t="shared" si="52"/>
        <v>2645721.2024999997</v>
      </c>
      <c r="R32" s="102">
        <f t="shared" si="52"/>
        <v>44316.181499999999</v>
      </c>
      <c r="S32" s="102">
        <f t="shared" si="52"/>
        <v>531794.17799999996</v>
      </c>
      <c r="T32" s="102">
        <f t="shared" si="52"/>
        <v>102190.17839062499</v>
      </c>
      <c r="U32" s="102">
        <f t="shared" si="52"/>
        <v>1230867.5856249998</v>
      </c>
      <c r="V32" s="102">
        <f t="shared" si="52"/>
        <v>81270.056746874994</v>
      </c>
      <c r="W32" s="102">
        <f t="shared" si="52"/>
        <v>975240.68096249981</v>
      </c>
      <c r="X32" s="102">
        <f t="shared" si="52"/>
        <v>227776.41663749999</v>
      </c>
      <c r="Y32" s="102">
        <f t="shared" si="52"/>
        <v>2737902.4445874998</v>
      </c>
      <c r="Z32" s="102">
        <f t="shared" si="52"/>
        <v>45867.247852499997</v>
      </c>
      <c r="AA32" s="103">
        <f t="shared" si="52"/>
        <v>550406.97422999993</v>
      </c>
      <c r="AB32" s="103">
        <f t="shared" si="52"/>
        <v>105766.83463429686</v>
      </c>
      <c r="AC32" s="103">
        <f t="shared" si="52"/>
        <v>1273528.9161218747</v>
      </c>
      <c r="AD32" s="103">
        <f t="shared" si="52"/>
        <v>84114.508733015624</v>
      </c>
      <c r="AE32" s="103">
        <f t="shared" si="52"/>
        <v>1009374.1047961873</v>
      </c>
      <c r="AF32" s="103">
        <f t="shared" si="52"/>
        <v>235748.59121981246</v>
      </c>
      <c r="AG32" s="106">
        <f t="shared" si="52"/>
        <v>2833309.9951480618</v>
      </c>
      <c r="AH32" s="102">
        <f t="shared" si="52"/>
        <v>47472.601527337487</v>
      </c>
      <c r="AI32" s="103">
        <f t="shared" si="52"/>
        <v>569671.21832804987</v>
      </c>
      <c r="AJ32" s="103">
        <f t="shared" si="52"/>
        <v>109468.67384649724</v>
      </c>
      <c r="AK32" s="103">
        <f t="shared" si="52"/>
        <v>1317682.3581861402</v>
      </c>
      <c r="AL32" s="103">
        <f t="shared" si="52"/>
        <v>87058.51653867116</v>
      </c>
      <c r="AM32" s="103">
        <f t="shared" si="52"/>
        <v>1044702.1984640538</v>
      </c>
      <c r="AN32" s="103">
        <f t="shared" si="52"/>
        <v>243999.7919125059</v>
      </c>
      <c r="AO32" s="106">
        <f t="shared" si="52"/>
        <v>2932055.7749782437</v>
      </c>
      <c r="AP32" s="102">
        <f t="shared" si="52"/>
        <v>49134.142580794301</v>
      </c>
      <c r="AQ32" s="103">
        <f t="shared" si="52"/>
        <v>589609.71096953168</v>
      </c>
      <c r="AR32" s="103">
        <f t="shared" si="52"/>
        <v>113300.07743112464</v>
      </c>
      <c r="AS32" s="103">
        <f t="shared" si="52"/>
        <v>1363382.170722655</v>
      </c>
      <c r="AT32" s="103">
        <f t="shared" si="52"/>
        <v>90105.564617524637</v>
      </c>
      <c r="AU32" s="103">
        <f t="shared" si="52"/>
        <v>1081266.7754102957</v>
      </c>
      <c r="AV32" s="103">
        <f t="shared" si="52"/>
        <v>252539.7846294436</v>
      </c>
      <c r="AW32" s="106">
        <f t="shared" si="52"/>
        <v>3034258.6571024824</v>
      </c>
    </row>
    <row r="33" spans="1:49" x14ac:dyDescent="0.25">
      <c r="A33" s="330"/>
      <c r="B33" s="331"/>
      <c r="C33" s="330"/>
      <c r="D33" s="330"/>
      <c r="E33" s="330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  <c r="AA33" s="330"/>
      <c r="AB33" s="330"/>
      <c r="AC33" s="330"/>
      <c r="AD33" s="330"/>
      <c r="AE33" s="330"/>
      <c r="AF33" s="330"/>
      <c r="AG33" s="330"/>
      <c r="AH33" s="330"/>
      <c r="AI33" s="330"/>
      <c r="AJ33" s="330"/>
      <c r="AK33" s="330"/>
      <c r="AL33" s="330"/>
      <c r="AM33" s="330"/>
      <c r="AN33" s="330"/>
      <c r="AO33" s="330"/>
      <c r="AP33" s="330"/>
      <c r="AQ33" s="330"/>
      <c r="AR33" s="330"/>
      <c r="AS33" s="330"/>
      <c r="AT33" s="330"/>
      <c r="AU33" s="330"/>
      <c r="AV33" s="330"/>
      <c r="AW33" s="330"/>
    </row>
    <row r="34" spans="1:49" x14ac:dyDescent="0.25">
      <c r="A34" s="330"/>
      <c r="B34" s="331"/>
      <c r="C34" s="330"/>
      <c r="D34" s="330"/>
      <c r="E34" s="330"/>
      <c r="F34" s="330"/>
      <c r="G34" s="330"/>
      <c r="H34" s="330"/>
      <c r="I34" s="330"/>
      <c r="J34" s="330"/>
      <c r="K34" s="330"/>
      <c r="L34" s="330"/>
      <c r="M34" s="330"/>
      <c r="N34" s="330"/>
      <c r="O34" s="330"/>
      <c r="P34" s="330"/>
      <c r="Q34" s="330"/>
      <c r="R34" s="330"/>
      <c r="S34" s="330"/>
      <c r="T34" s="330"/>
      <c r="U34" s="330"/>
      <c r="V34" s="330"/>
      <c r="W34" s="330"/>
      <c r="X34" s="330"/>
      <c r="Y34" s="330"/>
      <c r="Z34" s="330"/>
      <c r="AA34" s="330"/>
      <c r="AB34" s="330"/>
      <c r="AC34" s="330"/>
      <c r="AD34" s="330"/>
      <c r="AE34" s="330"/>
      <c r="AF34" s="330"/>
      <c r="AG34" s="330"/>
      <c r="AH34" s="330"/>
      <c r="AI34" s="330"/>
      <c r="AJ34" s="330"/>
      <c r="AK34" s="330"/>
      <c r="AL34" s="330"/>
      <c r="AM34" s="330"/>
      <c r="AN34" s="330"/>
      <c r="AO34" s="330"/>
      <c r="AP34" s="330"/>
      <c r="AQ34" s="330"/>
      <c r="AR34" s="330"/>
      <c r="AS34" s="330"/>
      <c r="AT34" s="330"/>
      <c r="AU34" s="330"/>
      <c r="AV34" s="330"/>
      <c r="AW34" s="330"/>
    </row>
    <row r="35" spans="1:49" ht="18" x14ac:dyDescent="0.35">
      <c r="A35" s="470" t="s">
        <v>258</v>
      </c>
      <c r="B35" s="471"/>
      <c r="C35" s="471"/>
      <c r="D35" s="471"/>
      <c r="E35" s="471"/>
      <c r="F35" s="471"/>
      <c r="G35" s="471"/>
      <c r="H35" s="471"/>
      <c r="I35" s="472"/>
      <c r="J35" s="469" t="s">
        <v>259</v>
      </c>
      <c r="K35" s="469"/>
      <c r="L35" s="469"/>
      <c r="M35" s="469"/>
      <c r="N35" s="469"/>
      <c r="O35" s="469"/>
      <c r="P35" s="469"/>
      <c r="Q35" s="469"/>
      <c r="R35" s="469" t="s">
        <v>260</v>
      </c>
      <c r="S35" s="469"/>
      <c r="T35" s="469"/>
      <c r="U35" s="469"/>
      <c r="V35" s="469"/>
      <c r="W35" s="469"/>
      <c r="X35" s="469"/>
      <c r="Y35" s="469"/>
      <c r="Z35" s="469" t="s">
        <v>261</v>
      </c>
      <c r="AA35" s="469"/>
      <c r="AB35" s="469"/>
      <c r="AC35" s="469"/>
      <c r="AD35" s="469"/>
      <c r="AE35" s="469"/>
      <c r="AF35" s="469"/>
      <c r="AG35" s="469"/>
      <c r="AH35" s="469" t="s">
        <v>262</v>
      </c>
      <c r="AI35" s="469"/>
      <c r="AJ35" s="469"/>
      <c r="AK35" s="469"/>
      <c r="AL35" s="469"/>
      <c r="AM35" s="469"/>
      <c r="AN35" s="469"/>
      <c r="AO35" s="469"/>
      <c r="AP35" s="469" t="s">
        <v>263</v>
      </c>
      <c r="AQ35" s="469"/>
      <c r="AR35" s="469"/>
      <c r="AS35" s="469"/>
      <c r="AT35" s="469"/>
      <c r="AU35" s="469"/>
      <c r="AV35" s="469"/>
      <c r="AW35" s="469"/>
    </row>
    <row r="36" spans="1:49" x14ac:dyDescent="0.25">
      <c r="A36" s="107" t="s">
        <v>264</v>
      </c>
      <c r="B36" s="318"/>
      <c r="C36" s="318"/>
      <c r="D36" s="318"/>
      <c r="E36" s="318"/>
      <c r="F36" s="318"/>
      <c r="G36" s="318"/>
      <c r="H36" s="325">
        <v>151379.98611111112</v>
      </c>
      <c r="I36" s="326">
        <v>1816559.8333333333</v>
      </c>
      <c r="J36" s="1"/>
      <c r="K36" s="1"/>
      <c r="L36" s="1"/>
      <c r="M36" s="1"/>
      <c r="N36" s="1"/>
      <c r="O36" s="321" t="s">
        <v>265</v>
      </c>
      <c r="P36" s="325">
        <f>P32</f>
        <v>220073.83249999999</v>
      </c>
      <c r="Q36" s="326">
        <f>Q32</f>
        <v>2645721.2024999997</v>
      </c>
      <c r="R36" s="1"/>
      <c r="S36" s="1"/>
      <c r="T36" s="1"/>
      <c r="U36" s="1"/>
      <c r="V36" s="1"/>
      <c r="W36" s="321" t="s">
        <v>265</v>
      </c>
      <c r="X36" s="325">
        <f>X32</f>
        <v>227776.41663749999</v>
      </c>
      <c r="Y36" s="326">
        <f>Y32</f>
        <v>2737902.4445874998</v>
      </c>
      <c r="Z36" s="1"/>
      <c r="AA36" s="1"/>
      <c r="AB36" s="1"/>
      <c r="AC36" s="1"/>
      <c r="AD36" s="1"/>
      <c r="AE36" s="321" t="s">
        <v>265</v>
      </c>
      <c r="AF36" s="325">
        <f>AF32</f>
        <v>235748.59121981246</v>
      </c>
      <c r="AG36" s="326">
        <f>AG32</f>
        <v>2833309.9951480618</v>
      </c>
      <c r="AH36" s="1"/>
      <c r="AI36" s="1"/>
      <c r="AJ36" s="1"/>
      <c r="AK36" s="1"/>
      <c r="AL36" s="1"/>
      <c r="AM36" s="321" t="s">
        <v>265</v>
      </c>
      <c r="AN36" s="325">
        <f>AN32</f>
        <v>243999.7919125059</v>
      </c>
      <c r="AO36" s="326">
        <f>AO32</f>
        <v>2932055.7749782437</v>
      </c>
      <c r="AP36" s="1"/>
      <c r="AQ36" s="1"/>
      <c r="AR36" s="1"/>
      <c r="AS36" s="1"/>
      <c r="AT36" s="1"/>
      <c r="AU36" s="321" t="s">
        <v>265</v>
      </c>
      <c r="AV36" s="325">
        <f>AV32</f>
        <v>252539.7846294436</v>
      </c>
      <c r="AW36" s="326">
        <f>AW32</f>
        <v>3034258.6571024824</v>
      </c>
    </row>
    <row r="37" spans="1:49" x14ac:dyDescent="0.25">
      <c r="A37" s="63" t="s">
        <v>266</v>
      </c>
      <c r="B37" s="1"/>
      <c r="C37" s="1"/>
      <c r="D37" s="1"/>
      <c r="E37" s="1"/>
      <c r="F37" s="1"/>
      <c r="G37" s="1"/>
      <c r="H37" s="327">
        <f>H36/$B$11</f>
        <v>3.772709934233299</v>
      </c>
      <c r="I37" s="327">
        <f>I36/$B$11</f>
        <v>45.27251921079958</v>
      </c>
      <c r="J37" s="1"/>
      <c r="K37" s="1"/>
      <c r="L37" s="1"/>
      <c r="M37" s="1"/>
      <c r="N37" s="1"/>
      <c r="O37" s="1"/>
      <c r="P37" s="327">
        <f>P36/$B$11</f>
        <v>5.4847061059190025</v>
      </c>
      <c r="Q37" s="327">
        <f>Q36/$B$11</f>
        <v>65.936977009345782</v>
      </c>
      <c r="R37" s="1"/>
      <c r="S37" s="1"/>
      <c r="T37" s="1"/>
      <c r="U37" s="1"/>
      <c r="V37" s="1"/>
      <c r="W37" s="1"/>
      <c r="X37" s="327">
        <f>X36/$B$11</f>
        <v>5.6766708196261684</v>
      </c>
      <c r="Y37" s="327">
        <f>Y36/$B$11</f>
        <v>68.234328837071644</v>
      </c>
      <c r="Z37" s="1"/>
      <c r="AA37" s="1"/>
      <c r="AB37" s="1"/>
      <c r="AC37" s="1"/>
      <c r="AD37" s="1"/>
      <c r="AE37" s="1"/>
      <c r="AF37" s="327">
        <f>AF36/$B$11</f>
        <v>5.8753542983130833</v>
      </c>
      <c r="AG37" s="327">
        <f>AG36/$B$11</f>
        <v>70.612087106493746</v>
      </c>
      <c r="AH37" s="1"/>
      <c r="AI37" s="1"/>
      <c r="AJ37" s="1"/>
      <c r="AK37" s="1"/>
      <c r="AL37" s="1"/>
      <c r="AM37" s="1"/>
      <c r="AN37" s="327">
        <f>AN36/$B$11</f>
        <v>6.0809916987540413</v>
      </c>
      <c r="AO37" s="327">
        <f>AO36/$B$11</f>
        <v>73.073041120953121</v>
      </c>
      <c r="AP37" s="1"/>
      <c r="AQ37" s="1"/>
      <c r="AR37" s="1"/>
      <c r="AS37" s="1"/>
      <c r="AT37" s="1"/>
      <c r="AU37" s="1"/>
      <c r="AV37" s="327">
        <f>AV36/$B$11</f>
        <v>6.2938264082104327</v>
      </c>
      <c r="AW37" s="327">
        <f>AW36/$B$11</f>
        <v>75.620153448036945</v>
      </c>
    </row>
    <row r="38" spans="1:49" x14ac:dyDescent="0.25">
      <c r="A38" s="108" t="s">
        <v>267</v>
      </c>
      <c r="B38" s="319"/>
      <c r="C38" s="319"/>
      <c r="D38" s="319"/>
      <c r="E38" s="319"/>
      <c r="F38" s="319"/>
      <c r="G38" s="319"/>
      <c r="H38" s="328">
        <v>0.5675</v>
      </c>
      <c r="I38" s="328">
        <f>H38</f>
        <v>0.5675</v>
      </c>
      <c r="J38" s="1"/>
      <c r="K38" s="321"/>
      <c r="L38" s="1"/>
      <c r="M38" s="1"/>
      <c r="N38" s="1" t="s">
        <v>267</v>
      </c>
      <c r="O38" s="1"/>
      <c r="P38" s="328">
        <v>0.56699999999999995</v>
      </c>
      <c r="Q38" s="328">
        <f>P38</f>
        <v>0.56699999999999995</v>
      </c>
      <c r="R38" s="1"/>
      <c r="S38" s="321"/>
      <c r="T38" s="1"/>
      <c r="U38" s="1"/>
      <c r="V38" s="1" t="s">
        <v>267</v>
      </c>
      <c r="W38" s="1"/>
      <c r="X38" s="328">
        <v>0.56699999999999995</v>
      </c>
      <c r="Y38" s="328">
        <f>X38</f>
        <v>0.56699999999999995</v>
      </c>
      <c r="Z38" s="1"/>
      <c r="AA38" s="321"/>
      <c r="AB38" s="1"/>
      <c r="AC38" s="1"/>
      <c r="AD38" s="1" t="s">
        <v>267</v>
      </c>
      <c r="AE38" s="1"/>
      <c r="AF38" s="328">
        <v>0.56699999999999995</v>
      </c>
      <c r="AG38" s="328">
        <f>AF38</f>
        <v>0.56699999999999995</v>
      </c>
      <c r="AH38" s="1"/>
      <c r="AI38" s="321"/>
      <c r="AJ38" s="1"/>
      <c r="AK38" s="1"/>
      <c r="AL38" s="1" t="s">
        <v>267</v>
      </c>
      <c r="AM38" s="1"/>
      <c r="AN38" s="328">
        <v>0.56699999999999995</v>
      </c>
      <c r="AO38" s="328">
        <f>AN38</f>
        <v>0.56699999999999995</v>
      </c>
      <c r="AP38" s="1"/>
      <c r="AQ38" s="321"/>
      <c r="AR38" s="1"/>
      <c r="AS38" s="1"/>
      <c r="AT38" s="1" t="s">
        <v>267</v>
      </c>
      <c r="AU38" s="1"/>
      <c r="AV38" s="328">
        <v>0.56699999999999995</v>
      </c>
      <c r="AW38" s="328">
        <f>AV38</f>
        <v>0.56699999999999995</v>
      </c>
    </row>
    <row r="39" spans="1:49" x14ac:dyDescent="0.25">
      <c r="A39" s="110" t="s">
        <v>268</v>
      </c>
      <c r="B39" s="319"/>
      <c r="C39" s="319"/>
      <c r="D39" s="319"/>
      <c r="E39" s="319"/>
      <c r="F39" s="319"/>
      <c r="G39" s="319"/>
      <c r="H39" s="159">
        <f>(H37)/(1-H38)</f>
        <v>8.723028749672368</v>
      </c>
      <c r="I39" s="159">
        <f>(I37)/(1-I38)</f>
        <v>104.67634499606839</v>
      </c>
      <c r="J39" s="321"/>
      <c r="K39" s="321"/>
      <c r="L39" s="1"/>
      <c r="M39" s="1" t="s">
        <v>269</v>
      </c>
      <c r="N39" s="1"/>
      <c r="O39" s="321"/>
      <c r="P39" s="159">
        <f>(P37)/(1-P38)</f>
        <v>12.666757750390305</v>
      </c>
      <c r="Q39" s="159">
        <f>(Q37)/(1-Q38)</f>
        <v>152.27939263128354</v>
      </c>
      <c r="R39" s="321"/>
      <c r="S39" s="321"/>
      <c r="T39" s="1"/>
      <c r="U39" s="1" t="s">
        <v>269</v>
      </c>
      <c r="V39" s="1"/>
      <c r="W39" s="321"/>
      <c r="X39" s="159">
        <f>(X37)/(1-X38)</f>
        <v>13.110094271653967</v>
      </c>
      <c r="Y39" s="159">
        <f>(Y37)/(1-Y38)</f>
        <v>157.58505505097375</v>
      </c>
      <c r="Z39" s="321"/>
      <c r="AA39" s="321"/>
      <c r="AB39" s="1"/>
      <c r="AC39" s="1" t="s">
        <v>269</v>
      </c>
      <c r="AD39" s="1"/>
      <c r="AE39" s="321"/>
      <c r="AF39" s="159">
        <f>(AF37)/(1-AF38)</f>
        <v>13.568947571161853</v>
      </c>
      <c r="AG39" s="159">
        <f>(AG37)/(1-AG38)</f>
        <v>163.07641364086314</v>
      </c>
      <c r="AH39" s="321"/>
      <c r="AI39" s="321"/>
      <c r="AJ39" s="1"/>
      <c r="AK39" s="1" t="s">
        <v>269</v>
      </c>
      <c r="AL39" s="1"/>
      <c r="AM39" s="321"/>
      <c r="AN39" s="159">
        <f>(AN37)/(1-AN38)</f>
        <v>14.043860736152519</v>
      </c>
      <c r="AO39" s="159">
        <f>(AO37)/(1-AO38)</f>
        <v>168.75991021005339</v>
      </c>
      <c r="AP39" s="321"/>
      <c r="AQ39" s="321"/>
      <c r="AR39" s="1"/>
      <c r="AS39" s="1" t="s">
        <v>269</v>
      </c>
      <c r="AT39" s="1"/>
      <c r="AU39" s="321"/>
      <c r="AV39" s="159">
        <f>(AV37)/(1-AV38)</f>
        <v>14.535395861917857</v>
      </c>
      <c r="AW39" s="159">
        <f>(AW37)/(1-AW38)</f>
        <v>174.64238671602064</v>
      </c>
    </row>
    <row r="40" spans="1:49" x14ac:dyDescent="0.25">
      <c r="A40" s="108"/>
      <c r="B40" s="319"/>
      <c r="C40" s="319"/>
      <c r="D40" s="319"/>
      <c r="E40" s="319"/>
      <c r="F40" s="319"/>
      <c r="G40" s="319"/>
      <c r="H40" s="63"/>
      <c r="I40" s="109"/>
      <c r="J40" s="321"/>
      <c r="K40" s="321"/>
      <c r="L40" s="1"/>
      <c r="M40" s="1"/>
      <c r="N40" s="1"/>
      <c r="O40" s="1"/>
      <c r="P40" s="63"/>
      <c r="Q40" s="109"/>
      <c r="R40" s="321"/>
      <c r="S40" s="321"/>
      <c r="T40" s="1"/>
      <c r="U40" s="1"/>
      <c r="V40" s="1"/>
      <c r="W40" s="1"/>
      <c r="X40" s="1"/>
      <c r="Y40" s="329"/>
      <c r="Z40" s="321"/>
      <c r="AA40" s="321"/>
      <c r="AB40" s="1"/>
      <c r="AC40" s="1"/>
      <c r="AD40" s="1"/>
      <c r="AE40" s="1"/>
      <c r="AF40" s="1"/>
      <c r="AG40" s="329"/>
      <c r="AH40" s="321"/>
      <c r="AI40" s="321"/>
      <c r="AJ40" s="1"/>
      <c r="AK40" s="1"/>
      <c r="AL40" s="1"/>
      <c r="AM40" s="1"/>
      <c r="AN40" s="1"/>
      <c r="AO40" s="329"/>
      <c r="AP40" s="321"/>
      <c r="AQ40" s="321"/>
      <c r="AR40" s="1"/>
      <c r="AS40" s="1"/>
      <c r="AT40" s="1"/>
      <c r="AU40" s="1"/>
      <c r="AV40" s="1"/>
      <c r="AW40" s="329"/>
    </row>
    <row r="41" spans="1:49" x14ac:dyDescent="0.25">
      <c r="A41" s="111" t="s">
        <v>270</v>
      </c>
      <c r="B41" s="320"/>
      <c r="C41" s="320"/>
      <c r="D41" s="320"/>
      <c r="E41" s="320"/>
      <c r="F41" s="320"/>
      <c r="G41" s="320"/>
      <c r="H41" s="112">
        <v>70</v>
      </c>
      <c r="I41" s="113">
        <f>H41*12</f>
        <v>840</v>
      </c>
      <c r="J41" s="322"/>
      <c r="K41" s="323"/>
      <c r="L41" s="324"/>
      <c r="M41" s="324" t="s">
        <v>271</v>
      </c>
      <c r="N41" s="324"/>
      <c r="O41" s="324"/>
      <c r="P41" s="160">
        <f>H41*(1+$D$2)</f>
        <v>72.449999999999989</v>
      </c>
      <c r="Q41" s="161">
        <f>P41*12</f>
        <v>869.39999999999986</v>
      </c>
      <c r="R41" s="322"/>
      <c r="S41" s="323"/>
      <c r="T41" s="324"/>
      <c r="U41" s="324" t="s">
        <v>271</v>
      </c>
      <c r="V41" s="324"/>
      <c r="W41" s="324"/>
      <c r="X41" s="160">
        <f>P41*(1+$D$2)</f>
        <v>74.985749999999982</v>
      </c>
      <c r="Y41" s="161">
        <f>X41*12</f>
        <v>899.82899999999972</v>
      </c>
      <c r="Z41" s="322"/>
      <c r="AA41" s="323"/>
      <c r="AB41" s="324"/>
      <c r="AC41" s="324" t="s">
        <v>271</v>
      </c>
      <c r="AD41" s="324"/>
      <c r="AE41" s="324"/>
      <c r="AF41" s="160">
        <f>X41*(1+$D$2)</f>
        <v>77.610251249999976</v>
      </c>
      <c r="AG41" s="161">
        <f>AF41*12</f>
        <v>931.32301499999971</v>
      </c>
      <c r="AH41" s="322"/>
      <c r="AI41" s="323"/>
      <c r="AJ41" s="324"/>
      <c r="AK41" s="324" t="s">
        <v>271</v>
      </c>
      <c r="AL41" s="324"/>
      <c r="AM41" s="324"/>
      <c r="AN41" s="160">
        <f>AF41*(1+$D$2)</f>
        <v>80.326610043749966</v>
      </c>
      <c r="AO41" s="161">
        <f>AN41*12</f>
        <v>963.91932052499965</v>
      </c>
      <c r="AP41" s="322"/>
      <c r="AQ41" s="323"/>
      <c r="AR41" s="324"/>
      <c r="AS41" s="324" t="s">
        <v>271</v>
      </c>
      <c r="AT41" s="324"/>
      <c r="AU41" s="324"/>
      <c r="AV41" s="160">
        <f>AN41*(1+$D$2)</f>
        <v>83.138041395281206</v>
      </c>
      <c r="AW41" s="161">
        <f>AV41*12</f>
        <v>997.65649674337442</v>
      </c>
    </row>
    <row r="42" spans="1:49" x14ac:dyDescent="0.25">
      <c r="B42" s="314"/>
    </row>
    <row r="43" spans="1:49" x14ac:dyDescent="0.25">
      <c r="B43" s="314"/>
    </row>
    <row r="44" spans="1:49" x14ac:dyDescent="0.25">
      <c r="B44" s="314"/>
    </row>
    <row r="45" spans="1:49" ht="18" x14ac:dyDescent="0.35">
      <c r="A45" s="469" t="s">
        <v>272</v>
      </c>
      <c r="B45" s="469"/>
      <c r="C45" s="469"/>
      <c r="D45" s="469"/>
      <c r="E45" s="469"/>
      <c r="F45" s="469"/>
      <c r="G45" s="469"/>
    </row>
    <row r="46" spans="1:49" ht="18" x14ac:dyDescent="0.35">
      <c r="A46" s="267" t="s">
        <v>232</v>
      </c>
      <c r="B46" s="267">
        <v>2020</v>
      </c>
      <c r="C46" s="267">
        <v>2021</v>
      </c>
      <c r="D46" s="267">
        <v>2022</v>
      </c>
      <c r="E46" s="267">
        <v>2023</v>
      </c>
      <c r="F46" s="267">
        <v>2024</v>
      </c>
      <c r="G46" s="267">
        <v>2025</v>
      </c>
    </row>
    <row r="47" spans="1:49" x14ac:dyDescent="0.25">
      <c r="A47" s="114" t="s">
        <v>273</v>
      </c>
      <c r="B47" s="132" t="s">
        <v>274</v>
      </c>
      <c r="C47" s="114">
        <v>12000</v>
      </c>
      <c r="D47" s="114"/>
      <c r="E47" s="114"/>
      <c r="F47" s="114"/>
      <c r="G47" s="114"/>
    </row>
    <row r="48" spans="1:49" x14ac:dyDescent="0.25">
      <c r="B48" s="314"/>
    </row>
    <row r="49" spans="2:2" x14ac:dyDescent="0.25">
      <c r="B49" s="314"/>
    </row>
    <row r="50" spans="2:2" x14ac:dyDescent="0.25">
      <c r="B50" s="314"/>
    </row>
    <row r="51" spans="2:2" x14ac:dyDescent="0.25">
      <c r="B51" s="314"/>
    </row>
    <row r="52" spans="2:2" x14ac:dyDescent="0.25">
      <c r="B52" s="314"/>
    </row>
    <row r="53" spans="2:2" x14ac:dyDescent="0.25">
      <c r="B53" s="314"/>
    </row>
    <row r="54" spans="2:2" x14ac:dyDescent="0.25">
      <c r="B54" s="314"/>
    </row>
    <row r="55" spans="2:2" x14ac:dyDescent="0.25">
      <c r="B55" s="314"/>
    </row>
    <row r="56" spans="2:2" x14ac:dyDescent="0.25">
      <c r="B56" s="314"/>
    </row>
    <row r="57" spans="2:2" x14ac:dyDescent="0.25">
      <c r="B57" s="314"/>
    </row>
  </sheetData>
  <mergeCells count="73">
    <mergeCell ref="AH35:AO35"/>
    <mergeCell ref="AP35:AW35"/>
    <mergeCell ref="A35:I35"/>
    <mergeCell ref="J35:Q35"/>
    <mergeCell ref="A45:G45"/>
    <mergeCell ref="R35:Y35"/>
    <mergeCell ref="Z35:AG35"/>
    <mergeCell ref="J19:K19"/>
    <mergeCell ref="P19:P20"/>
    <mergeCell ref="T19:U19"/>
    <mergeCell ref="V19:W19"/>
    <mergeCell ref="L19:M19"/>
    <mergeCell ref="N19:O19"/>
    <mergeCell ref="A19:A20"/>
    <mergeCell ref="D19:E19"/>
    <mergeCell ref="F19:G19"/>
    <mergeCell ref="H19:H20"/>
    <mergeCell ref="I19:I20"/>
    <mergeCell ref="B19:C19"/>
    <mergeCell ref="L5:M5"/>
    <mergeCell ref="H6:I6"/>
    <mergeCell ref="J6:K6"/>
    <mergeCell ref="L6:M6"/>
    <mergeCell ref="H10:I10"/>
    <mergeCell ref="J10:K10"/>
    <mergeCell ref="L10:M10"/>
    <mergeCell ref="B18:I18"/>
    <mergeCell ref="J18:Q18"/>
    <mergeCell ref="A2:C2"/>
    <mergeCell ref="A4:E4"/>
    <mergeCell ref="H5:I5"/>
    <mergeCell ref="J5:K5"/>
    <mergeCell ref="H11:I11"/>
    <mergeCell ref="J11:K11"/>
    <mergeCell ref="D10:E10"/>
    <mergeCell ref="B11:C11"/>
    <mergeCell ref="D11:E11"/>
    <mergeCell ref="B10:C10"/>
    <mergeCell ref="A5:A7"/>
    <mergeCell ref="B5:C5"/>
    <mergeCell ref="F11:G11"/>
    <mergeCell ref="F10:G10"/>
    <mergeCell ref="L11:M11"/>
    <mergeCell ref="H12:I12"/>
    <mergeCell ref="J12:K12"/>
    <mergeCell ref="L12:M12"/>
    <mergeCell ref="A17:I17"/>
    <mergeCell ref="B12:C12"/>
    <mergeCell ref="D12:E12"/>
    <mergeCell ref="F12:G12"/>
    <mergeCell ref="Z18:AG18"/>
    <mergeCell ref="Q19:Q20"/>
    <mergeCell ref="R19:S19"/>
    <mergeCell ref="AB19:AC19"/>
    <mergeCell ref="AD19:AE19"/>
    <mergeCell ref="AF19:AF20"/>
    <mergeCell ref="AG19:AG20"/>
    <mergeCell ref="R18:Y18"/>
    <mergeCell ref="X19:X20"/>
    <mergeCell ref="Y19:Y20"/>
    <mergeCell ref="Z19:AA19"/>
    <mergeCell ref="AH18:AO18"/>
    <mergeCell ref="AH19:AI19"/>
    <mergeCell ref="AN19:AN20"/>
    <mergeCell ref="AO19:AO20"/>
    <mergeCell ref="AJ19:AK19"/>
    <mergeCell ref="AL19:AM19"/>
    <mergeCell ref="AP18:AW18"/>
    <mergeCell ref="AP19:AQ19"/>
    <mergeCell ref="AR19:AS19"/>
    <mergeCell ref="AT19:AU19"/>
    <mergeCell ref="AV19:AV20"/>
    <mergeCell ref="AW19:AW2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C6718-ED97-4149-B82B-CDCB2558E9EB}">
  <sheetPr codeName="Hoja12"/>
  <dimension ref="B2:K28"/>
  <sheetViews>
    <sheetView tabSelected="1" topLeftCell="A7" workbookViewId="0">
      <selection activeCell="K24" sqref="K24"/>
    </sheetView>
  </sheetViews>
  <sheetFormatPr baseColWidth="10" defaultColWidth="11.54296875" defaultRowHeight="15" x14ac:dyDescent="0.25"/>
  <cols>
    <col min="1" max="1" width="11.54296875" style="330"/>
    <col min="2" max="2" width="3.90625" style="330" customWidth="1"/>
    <col min="3" max="3" width="11.453125" style="330" customWidth="1"/>
    <col min="4" max="4" width="12.08984375" style="330" customWidth="1"/>
    <col min="5" max="5" width="14.453125" style="330" customWidth="1"/>
    <col min="6" max="6" width="13.81640625" style="330" customWidth="1"/>
    <col min="7" max="7" width="14" style="330" customWidth="1"/>
    <col min="8" max="8" width="14.453125" style="330" customWidth="1"/>
    <col min="9" max="9" width="14.08984375" style="330" customWidth="1"/>
    <col min="10" max="10" width="4.1796875" style="330" customWidth="1"/>
    <col min="11" max="11" width="16.6328125" style="330" customWidth="1"/>
    <col min="12" max="16384" width="11.54296875" style="330"/>
  </cols>
  <sheetData>
    <row r="2" spans="2:11" ht="15.6" thickBot="1" x14ac:dyDescent="0.3">
      <c r="B2" s="335"/>
      <c r="C2" s="335"/>
      <c r="D2" s="335"/>
      <c r="E2" s="335"/>
      <c r="F2" s="335"/>
      <c r="G2" s="335"/>
      <c r="H2" s="335"/>
      <c r="I2" s="335"/>
      <c r="J2" s="335"/>
    </row>
    <row r="3" spans="2:11" x14ac:dyDescent="0.25">
      <c r="B3" s="335"/>
      <c r="C3" s="473" t="s">
        <v>91</v>
      </c>
      <c r="D3" s="235">
        <v>0</v>
      </c>
      <c r="E3" s="235">
        <v>1</v>
      </c>
      <c r="F3" s="235">
        <f>F4-2019</f>
        <v>2</v>
      </c>
      <c r="G3" s="235">
        <f>G4-2019</f>
        <v>3</v>
      </c>
      <c r="H3" s="235">
        <f>H4-2019</f>
        <v>4</v>
      </c>
      <c r="I3" s="235">
        <f>I4-2019</f>
        <v>5</v>
      </c>
      <c r="J3" s="335"/>
      <c r="K3" s="332"/>
    </row>
    <row r="4" spans="2:11" x14ac:dyDescent="0.25">
      <c r="B4" s="335"/>
      <c r="C4" s="474"/>
      <c r="D4" s="235">
        <v>2019</v>
      </c>
      <c r="E4" s="235">
        <v>2020</v>
      </c>
      <c r="F4" s="235">
        <v>2021</v>
      </c>
      <c r="G4" s="235">
        <v>2022</v>
      </c>
      <c r="H4" s="235">
        <v>2023</v>
      </c>
      <c r="I4" s="235">
        <v>2024</v>
      </c>
      <c r="J4" s="335"/>
      <c r="K4" s="333"/>
    </row>
    <row r="5" spans="2:11" x14ac:dyDescent="0.25">
      <c r="B5" s="335"/>
      <c r="C5" s="229" t="s">
        <v>148</v>
      </c>
      <c r="D5" s="231">
        <f>'Flujo de Efectivo'!D5</f>
        <v>572427.01419374731</v>
      </c>
      <c r="E5" s="231">
        <f>'Flujo de Efectivo'!E5</f>
        <v>2839245</v>
      </c>
      <c r="F5" s="231">
        <f>'Flujo de Efectivo'!F5</f>
        <v>3123169.5</v>
      </c>
      <c r="G5" s="231">
        <f>'Flujo de Efectivo'!G5</f>
        <v>3407094</v>
      </c>
      <c r="H5" s="231">
        <f>'Flujo de Efectivo'!H5</f>
        <v>3691018.5</v>
      </c>
      <c r="I5" s="231">
        <f>'Flujo de Efectivo'!I5</f>
        <v>3974943</v>
      </c>
      <c r="J5" s="335"/>
      <c r="K5" s="333"/>
    </row>
    <row r="6" spans="2:11" ht="15.6" thickBot="1" x14ac:dyDescent="0.3">
      <c r="B6" s="335"/>
      <c r="C6" s="229" t="s">
        <v>193</v>
      </c>
      <c r="D6" s="231">
        <f>'Flujo de Efectivo'!D9</f>
        <v>962427.01419374743</v>
      </c>
      <c r="E6" s="232">
        <f>'Flujo de Efectivo'!E9</f>
        <v>2818935.0851624841</v>
      </c>
      <c r="F6" s="231">
        <f>'Flujo de Efectivo'!F9</f>
        <v>2853606.9459687364</v>
      </c>
      <c r="G6" s="232">
        <f>'Flujo de Efectivo'!G9</f>
        <v>2679803.2406249996</v>
      </c>
      <c r="H6" s="231">
        <f>'Flujo de Efectivo'!H9</f>
        <v>2773596.3540468742</v>
      </c>
      <c r="I6" s="233">
        <f>'Flujo de Efectivo'!I9</f>
        <v>2870672.2264385149</v>
      </c>
      <c r="J6" s="335"/>
      <c r="K6" s="333"/>
    </row>
    <row r="7" spans="2:11" ht="15.6" thickBot="1" x14ac:dyDescent="0.3">
      <c r="B7" s="335"/>
      <c r="C7" s="230" t="s">
        <v>275</v>
      </c>
      <c r="D7" s="234">
        <f>D5-D6</f>
        <v>-390000.00000000012</v>
      </c>
      <c r="E7" s="234">
        <f>E5-E6</f>
        <v>20309.914837515913</v>
      </c>
      <c r="F7" s="234">
        <f t="shared" ref="E7:I7" si="0">F5-F6</f>
        <v>269562.55403126357</v>
      </c>
      <c r="G7" s="234">
        <f t="shared" si="0"/>
        <v>727290.75937500037</v>
      </c>
      <c r="H7" s="234">
        <f t="shared" si="0"/>
        <v>917422.14595312579</v>
      </c>
      <c r="I7" s="234">
        <f t="shared" si="0"/>
        <v>1104270.7735614851</v>
      </c>
      <c r="J7" s="335"/>
      <c r="K7" s="333"/>
    </row>
    <row r="8" spans="2:11" x14ac:dyDescent="0.25">
      <c r="B8" s="335"/>
      <c r="C8" s="484" t="s">
        <v>285</v>
      </c>
      <c r="D8" s="483"/>
      <c r="E8" s="483">
        <f>E5-E6</f>
        <v>20309.914837515913</v>
      </c>
      <c r="F8" s="483">
        <f>E8+F7</f>
        <v>289872.46886877948</v>
      </c>
      <c r="G8" s="483">
        <f t="shared" ref="G8:I8" si="1">F8+G7</f>
        <v>1017163.2282437799</v>
      </c>
      <c r="H8" s="483">
        <f t="shared" si="1"/>
        <v>1934585.3741969056</v>
      </c>
      <c r="I8" s="483">
        <f t="shared" si="1"/>
        <v>3038856.1477583908</v>
      </c>
      <c r="J8" s="335"/>
      <c r="K8" s="333"/>
    </row>
    <row r="9" spans="2:11" x14ac:dyDescent="0.25">
      <c r="B9" s="335"/>
      <c r="C9" s="335"/>
      <c r="D9" s="335"/>
      <c r="E9" s="335"/>
      <c r="F9" s="335"/>
      <c r="G9" s="335"/>
      <c r="H9" s="335"/>
      <c r="I9" s="335"/>
      <c r="J9" s="335"/>
      <c r="K9" s="332"/>
    </row>
    <row r="10" spans="2:11" ht="15.6" x14ac:dyDescent="0.3">
      <c r="B10" s="335"/>
      <c r="C10" s="119" t="s">
        <v>276</v>
      </c>
      <c r="D10" s="238">
        <f>IRR(D7:I7)</f>
        <v>0.76405830925738982</v>
      </c>
      <c r="E10" s="335"/>
      <c r="F10" s="481" t="s">
        <v>283</v>
      </c>
      <c r="G10" s="482">
        <f>NPV(Financiamiento!K7,E7:I7)+D7</f>
        <v>1121218.3219916783</v>
      </c>
      <c r="H10" s="335" t="str">
        <f>IF(G10&gt;0,"Aprobado",IF(G10=0,"Regular","Denegado"))</f>
        <v>Aprobado</v>
      </c>
      <c r="I10" s="335"/>
      <c r="J10" s="335"/>
      <c r="K10" s="334"/>
    </row>
    <row r="11" spans="2:11" x14ac:dyDescent="0.25">
      <c r="B11" s="335"/>
      <c r="C11" s="335"/>
      <c r="D11" s="335"/>
      <c r="E11" s="335"/>
      <c r="F11" s="335"/>
      <c r="G11" s="335"/>
      <c r="H11" s="335"/>
      <c r="I11" s="335"/>
      <c r="J11" s="335"/>
    </row>
    <row r="12" spans="2:11" x14ac:dyDescent="0.25">
      <c r="B12" s="335"/>
      <c r="C12" s="236" t="s">
        <v>277</v>
      </c>
      <c r="D12" s="236"/>
      <c r="E12" s="236"/>
      <c r="F12" s="236"/>
      <c r="G12" s="236"/>
      <c r="H12" s="236"/>
      <c r="I12" s="236"/>
      <c r="J12" s="335"/>
    </row>
    <row r="13" spans="2:11" x14ac:dyDescent="0.25">
      <c r="B13" s="335"/>
      <c r="C13" s="236"/>
      <c r="D13" s="236" t="s">
        <v>146</v>
      </c>
      <c r="E13" s="236" t="s">
        <v>278</v>
      </c>
      <c r="F13" s="236" t="s">
        <v>279</v>
      </c>
      <c r="G13" s="236" t="s">
        <v>280</v>
      </c>
      <c r="H13" s="236" t="s">
        <v>277</v>
      </c>
      <c r="I13" s="236" t="s">
        <v>281</v>
      </c>
      <c r="J13" s="335"/>
    </row>
    <row r="14" spans="2:11" x14ac:dyDescent="0.25">
      <c r="B14" s="335"/>
      <c r="C14" s="236" t="s">
        <v>282</v>
      </c>
      <c r="D14" s="236">
        <f>'Inversion Total'!D79</f>
        <v>390000</v>
      </c>
      <c r="E14" s="237">
        <f>D14/D16</f>
        <v>0.42878723577360911</v>
      </c>
      <c r="F14" s="237">
        <v>0.04</v>
      </c>
      <c r="G14" s="237">
        <v>0.1</v>
      </c>
      <c r="H14" s="237">
        <f>F14+G14+F14*G14</f>
        <v>0.14400000000000002</v>
      </c>
      <c r="I14" s="237">
        <f>E14*H14</f>
        <v>6.1745361951399722E-2</v>
      </c>
      <c r="J14" s="335"/>
    </row>
    <row r="15" spans="2:11" x14ac:dyDescent="0.25">
      <c r="B15" s="335"/>
      <c r="C15" s="236" t="s">
        <v>157</v>
      </c>
      <c r="D15" s="236">
        <f>'Inversion Total'!D81</f>
        <v>519542</v>
      </c>
      <c r="E15" s="237">
        <f>D15/D16</f>
        <v>0.57121276422639089</v>
      </c>
      <c r="F15" s="237">
        <v>0.04</v>
      </c>
      <c r="G15" s="237">
        <v>0.12</v>
      </c>
      <c r="H15" s="237">
        <f>F15+G15+F15*G15</f>
        <v>0.1648</v>
      </c>
      <c r="I15" s="237">
        <f>E15*H15</f>
        <v>9.4135863544509216E-2</v>
      </c>
      <c r="J15" s="335"/>
    </row>
    <row r="16" spans="2:11" ht="15.6" x14ac:dyDescent="0.3">
      <c r="B16" s="335"/>
      <c r="C16" s="236" t="s">
        <v>9</v>
      </c>
      <c r="D16" s="236">
        <f>D14+D15</f>
        <v>909542</v>
      </c>
      <c r="E16" s="237"/>
      <c r="F16" s="237"/>
      <c r="G16" s="237"/>
      <c r="H16" s="237"/>
      <c r="I16" s="239">
        <f>I14+I15</f>
        <v>0.15588122549590894</v>
      </c>
      <c r="J16" s="335"/>
    </row>
    <row r="17" spans="2:10" x14ac:dyDescent="0.25">
      <c r="B17" s="335"/>
      <c r="C17" s="335"/>
      <c r="D17" s="335"/>
      <c r="E17" s="335"/>
      <c r="F17" s="335"/>
      <c r="G17" s="335"/>
      <c r="H17" s="335"/>
      <c r="I17" s="335"/>
      <c r="J17" s="335"/>
    </row>
    <row r="18" spans="2:10" ht="15.6" thickBot="1" x14ac:dyDescent="0.3">
      <c r="B18" s="335"/>
      <c r="C18" s="335"/>
      <c r="D18" s="335"/>
      <c r="E18" s="335"/>
      <c r="F18" s="335"/>
      <c r="G18" s="335"/>
      <c r="H18" s="335"/>
      <c r="I18" s="335"/>
      <c r="J18" s="335"/>
    </row>
    <row r="19" spans="2:10" x14ac:dyDescent="0.25">
      <c r="B19" s="335"/>
      <c r="C19" s="335"/>
      <c r="D19" s="335"/>
      <c r="E19" s="475" t="str">
        <f>IF(AND(D10&gt;I16,H10="Aprobado"),"Proyecto Aprobado","Proyecto No Aprobado")</f>
        <v>Proyecto Aprobado</v>
      </c>
      <c r="F19" s="476"/>
      <c r="G19" s="477"/>
      <c r="H19" s="335"/>
      <c r="I19" s="335"/>
      <c r="J19" s="335"/>
    </row>
    <row r="20" spans="2:10" ht="15.6" thickBot="1" x14ac:dyDescent="0.3">
      <c r="B20" s="335"/>
      <c r="C20" s="335"/>
      <c r="D20" s="335"/>
      <c r="E20" s="478"/>
      <c r="F20" s="479"/>
      <c r="G20" s="480"/>
      <c r="H20" s="335"/>
      <c r="I20" s="335"/>
      <c r="J20" s="335"/>
    </row>
    <row r="21" spans="2:10" x14ac:dyDescent="0.25">
      <c r="B21" s="335"/>
      <c r="C21" s="335"/>
      <c r="D21" s="335"/>
      <c r="E21" s="335"/>
      <c r="F21" s="335"/>
      <c r="G21" s="335"/>
      <c r="H21" s="335"/>
      <c r="I21" s="335"/>
      <c r="J21" s="335"/>
    </row>
    <row r="25" spans="2:10" x14ac:dyDescent="0.25">
      <c r="B25" s="335"/>
      <c r="C25" s="335"/>
      <c r="D25" s="335"/>
      <c r="E25" s="335"/>
      <c r="F25" s="335"/>
      <c r="G25" s="335"/>
      <c r="H25" s="335"/>
      <c r="I25" s="335"/>
      <c r="J25" s="335"/>
    </row>
    <row r="26" spans="2:10" x14ac:dyDescent="0.25">
      <c r="B26" s="335"/>
      <c r="C26" s="335"/>
      <c r="D26" s="335"/>
      <c r="E26" s="487" t="s">
        <v>284</v>
      </c>
      <c r="F26" s="486">
        <f>-D7-((MAX(IF(E8:I8&lt;-D7,E8:I8))))</f>
        <v>-2648856.1477583908</v>
      </c>
      <c r="G26" s="487" t="s">
        <v>286</v>
      </c>
      <c r="H26" s="487">
        <f>F26/F27</f>
        <v>0.87166223702701984</v>
      </c>
      <c r="I26" s="487" t="s">
        <v>287</v>
      </c>
      <c r="J26" s="335"/>
    </row>
    <row r="27" spans="2:10" x14ac:dyDescent="0.25">
      <c r="B27" s="335"/>
      <c r="C27" s="335"/>
      <c r="D27" s="335"/>
      <c r="E27" s="487"/>
      <c r="F27" s="485">
        <f>(((MIN(IF(E8:I8&gt;-D7,E8:I8))))-(MAX(IF(E8:I8&lt;-D7,E8:I8))))</f>
        <v>-3038856.1477583908</v>
      </c>
      <c r="G27" s="487"/>
      <c r="H27" s="487"/>
      <c r="I27" s="487"/>
      <c r="J27" s="335"/>
    </row>
    <row r="28" spans="2:10" x14ac:dyDescent="0.25">
      <c r="B28" s="335"/>
      <c r="C28" s="335"/>
      <c r="D28" s="335"/>
      <c r="E28" s="335"/>
      <c r="F28" s="335"/>
      <c r="G28" s="335"/>
      <c r="H28" s="335"/>
      <c r="I28" s="335"/>
      <c r="J28" s="335"/>
    </row>
  </sheetData>
  <mergeCells count="6">
    <mergeCell ref="I26:I27"/>
    <mergeCell ref="C3:C4"/>
    <mergeCell ref="E19:G20"/>
    <mergeCell ref="G26:G27"/>
    <mergeCell ref="H26:H27"/>
    <mergeCell ref="E26:E27"/>
  </mergeCells>
  <conditionalFormatting sqref="E19:G20">
    <cfRule type="cellIs" dxfId="3" priority="2" operator="equal">
      <formula>"Proyecto No Aprobado"</formula>
    </cfRule>
    <cfRule type="cellIs" dxfId="2" priority="3" operator="equal">
      <formula>"Proyecto Aprobado"</formula>
    </cfRule>
    <cfRule type="cellIs" dxfId="1" priority="4" operator="equal">
      <formula>"Aprobado"</formula>
    </cfRule>
  </conditionalFormatting>
  <conditionalFormatting sqref="H10">
    <cfRule type="cellIs" dxfId="0" priority="1" operator="equal">
      <formula>"Aprobado"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</vt:i4>
      </vt:variant>
    </vt:vector>
  </HeadingPairs>
  <TitlesOfParts>
    <vt:vector size="14" baseType="lpstr">
      <vt:lpstr>Capital  Social</vt:lpstr>
      <vt:lpstr>Inversion Total</vt:lpstr>
      <vt:lpstr>Remuneraciones</vt:lpstr>
      <vt:lpstr>Depreciación</vt:lpstr>
      <vt:lpstr>Presupuesto de Ingresos</vt:lpstr>
      <vt:lpstr>Punto de Equilibrio</vt:lpstr>
      <vt:lpstr>Financiamiento</vt:lpstr>
      <vt:lpstr>Edo. de Situación Financiera P.</vt:lpstr>
      <vt:lpstr>Estado de Resultados</vt:lpstr>
      <vt:lpstr>Flujo de Efectivo</vt:lpstr>
      <vt:lpstr>Costos, Gastos y Precio</vt:lpstr>
      <vt:lpstr>Flujo Neto de Efectivo</vt:lpstr>
      <vt:lpstr>Financiamiento!Área_de_impresión</vt:lpstr>
      <vt:lpstr>'Inversion Total'!Área_de_impresión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Arturo Garcia</dc:creator>
  <cp:keywords/>
  <dc:description/>
  <cp:lastModifiedBy>Ulises Reyes</cp:lastModifiedBy>
  <cp:revision/>
  <dcterms:created xsi:type="dcterms:W3CDTF">2019-10-24T12:18:31Z</dcterms:created>
  <dcterms:modified xsi:type="dcterms:W3CDTF">2019-11-27T22:16:12Z</dcterms:modified>
  <cp:category/>
  <cp:contentStatus/>
</cp:coreProperties>
</file>